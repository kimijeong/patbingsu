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세부체크리스트" sheetId="2" state="visible" r:id="rId4"/>
    <sheet name="증례별총점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<sst xmlns="http://schemas.openxmlformats.org/spreadsheetml/2006/main" count="2401" uniqueCount="312">
  <si>
    <r>
      <rPr>
        <b val="true"/>
        <sz val="14"/>
        <rFont val="Arial"/>
        <family val="0"/>
        <charset val="1"/>
      </rPr>
      <t xml:space="preserve">CPX </t>
    </r>
    <r>
      <rPr>
        <b val="true"/>
        <sz val="14"/>
        <rFont val="Noto Sans CJK SC"/>
        <family val="2"/>
      </rPr>
      <t xml:space="preserve">복통 증례 채점 기준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검토용</t>
    </r>
    <r>
      <rPr>
        <b val="true"/>
        <sz val="14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</si>
  <si>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■ 채점 영역 및 배점 </t>
    </r>
    <r>
      <rPr>
        <b val="true"/>
        <sz val="11"/>
        <rFont val="Arial"/>
        <family val="0"/>
        <charset val="1"/>
      </rPr>
      <t xml:space="preserve">(100</t>
    </r>
    <r>
      <rPr>
        <b val="true"/>
        <sz val="11"/>
        <rFont val="Noto Sans CJK SC"/>
        <family val="2"/>
      </rPr>
      <t xml:space="preserve">점 만점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</si>
  <si>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  1) </t>
    </r>
    <r>
      <rPr>
        <sz val="11"/>
        <rFont val="Noto Sans CJK SC"/>
        <family val="2"/>
      </rPr>
      <t xml:space="preserve">병력청취</t>
    </r>
    <r>
      <rPr>
        <sz val="11"/>
        <rFont val="Arial"/>
        <family val="0"/>
        <charset val="1"/>
      </rPr>
      <t xml:space="preserve">(History Taking) - 40</t>
    </r>
    <r>
      <rPr>
        <sz val="11"/>
        <rFont val="Noto Sans CJK SC"/>
        <family val="2"/>
      </rPr>
      <t xml:space="preserve">점</t>
    </r>
  </si>
  <si>
    <r>
      <rPr>
        <sz val="11"/>
        <rFont val="Arial"/>
        <family val="0"/>
        <charset val="1"/>
      </rPr>
      <t xml:space="preserve">  2) </t>
    </r>
    <r>
      <rPr>
        <sz val="11"/>
        <rFont val="Noto Sans CJK SC"/>
        <family val="2"/>
      </rPr>
      <t xml:space="preserve">신체진찰</t>
    </r>
    <r>
      <rPr>
        <sz val="11"/>
        <rFont val="Arial"/>
        <family val="0"/>
        <charset val="1"/>
      </rPr>
      <t xml:space="preserve">(Physical Exam) - 20</t>
    </r>
    <r>
      <rPr>
        <sz val="11"/>
        <rFont val="Noto Sans CJK SC"/>
        <family val="2"/>
      </rPr>
      <t xml:space="preserve">점</t>
    </r>
  </si>
  <si>
    <r>
      <rPr>
        <sz val="11"/>
        <rFont val="Arial"/>
        <family val="0"/>
        <charset val="1"/>
      </rPr>
      <t xml:space="preserve">  3) </t>
    </r>
    <r>
      <rPr>
        <sz val="11"/>
        <rFont val="Noto Sans CJK SC"/>
        <family val="2"/>
      </rPr>
      <t xml:space="preserve">환자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의사관계</t>
    </r>
    <r>
      <rPr>
        <sz val="11"/>
        <rFont val="Arial"/>
        <family val="0"/>
        <charset val="1"/>
      </rPr>
      <t xml:space="preserve">(PPI: </t>
    </r>
    <r>
      <rPr>
        <sz val="11"/>
        <rFont val="Noto Sans CJK SC"/>
        <family val="2"/>
      </rPr>
      <t xml:space="preserve">공감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설명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태도</t>
    </r>
    <r>
      <rPr>
        <sz val="11"/>
        <rFont val="Arial"/>
        <family val="0"/>
        <charset val="1"/>
      </rPr>
      <t xml:space="preserve">) - 20</t>
    </r>
    <r>
      <rPr>
        <sz val="11"/>
        <rFont val="Noto Sans CJK SC"/>
        <family val="2"/>
      </rPr>
      <t xml:space="preserve">점</t>
    </r>
  </si>
  <si>
    <r>
      <rPr>
        <sz val="11"/>
        <rFont val="Arial"/>
        <family val="0"/>
        <charset val="1"/>
      </rPr>
      <t xml:space="preserve">  4) </t>
    </r>
    <r>
      <rPr>
        <sz val="11"/>
        <rFont val="Noto Sans CJK SC"/>
        <family val="2"/>
      </rPr>
      <t xml:space="preserve">임상추론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감별진단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검사계획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치료계획</t>
    </r>
    <r>
      <rPr>
        <sz val="11"/>
        <rFont val="Arial"/>
        <family val="0"/>
        <charset val="1"/>
      </rPr>
      <t xml:space="preserve">) - 20</t>
    </r>
    <r>
      <rPr>
        <sz val="11"/>
        <rFont val="Noto Sans CJK SC"/>
        <family val="2"/>
      </rPr>
      <t xml:space="preserve">점</t>
    </r>
  </si>
  <si>
    <t xml:space="preserve">■ 사용 방법</t>
  </si>
  <si>
    <r>
      <rPr>
        <sz val="11"/>
        <rFont val="Arial"/>
        <family val="0"/>
        <charset val="1"/>
      </rPr>
      <t xml:space="preserve">  - '</t>
    </r>
    <r>
      <rPr>
        <sz val="11"/>
        <rFont val="Noto Sans CJK SC"/>
        <family val="2"/>
      </rPr>
      <t xml:space="preserve">세부체크리스트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증례별 항목과 배점이 나열되어 있습니다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배점</t>
    </r>
    <r>
      <rPr>
        <sz val="11"/>
        <rFont val="Arial"/>
        <family val="0"/>
        <charset val="1"/>
      </rPr>
      <t xml:space="preserve">(E</t>
    </r>
    <r>
      <rPr>
        <sz val="11"/>
        <rFont val="Noto Sans CJK SC"/>
        <family val="2"/>
      </rPr>
      <t xml:space="preserve">열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숫자만 수정하면 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</si>
  <si>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  - '</t>
    </r>
    <r>
      <rPr>
        <sz val="11"/>
        <rFont val="Noto Sans CJK SC"/>
        <family val="2"/>
      </rPr>
      <t xml:space="preserve">증례별총점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세부체크리스트의 배점을 영역별로 합산하여 </t>
    </r>
    <r>
      <rPr>
        <sz val="11"/>
        <rFont val="Arial"/>
        <family val="0"/>
        <charset val="1"/>
      </rPr>
      <t xml:space="preserve">100</t>
    </r>
    <r>
      <rPr>
        <sz val="11"/>
        <rFont val="Noto Sans CJK SC"/>
        <family val="2"/>
      </rPr>
      <t xml:space="preserve">점 만점 점수를 계산합니다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수식 자동 반영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</si>
  <si>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  - </t>
    </r>
    <r>
      <rPr>
        <sz val="11"/>
        <rFont val="Noto Sans CJK SC"/>
        <family val="2"/>
      </rPr>
      <t xml:space="preserve">항목 문구나 배점은 자유롭게 수정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추가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삭제 가능합니다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영역별 합계가 의도한 가중치</t>
    </r>
    <r>
      <rPr>
        <sz val="11"/>
        <rFont val="Arial"/>
        <family val="0"/>
        <charset val="1"/>
      </rPr>
      <t xml:space="preserve">(40/20/20/20)</t>
    </r>
    <r>
      <rPr>
        <sz val="11"/>
        <rFont val="Noto Sans CJK SC"/>
        <family val="2"/>
      </rPr>
      <t xml:space="preserve">와 다르면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증례별총점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시트에서 바로 확인할 수 있습니다</t>
    </r>
    <r>
      <rPr>
        <sz val="11"/>
        <rFont val="Arial"/>
        <family val="0"/>
        <charset val="1"/>
      </rPr>
      <t xml:space="preserve">.</t>
    </r>
  </si>
  <si>
    <t xml:space="preserve">■ 참고</t>
  </si>
  <si>
    <r>
      <rPr>
        <sz val="11"/>
        <rFont val="Arial"/>
        <family val="0"/>
        <charset val="1"/>
      </rPr>
      <t xml:space="preserve">  - </t>
    </r>
    <r>
      <rPr>
        <sz val="11"/>
        <rFont val="Noto Sans CJK SC"/>
        <family val="2"/>
      </rPr>
      <t xml:space="preserve">각 증례의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케이스 핵심 감별 포인트</t>
    </r>
    <r>
      <rPr>
        <sz val="11"/>
        <rFont val="Arial"/>
        <family val="0"/>
        <charset val="1"/>
      </rPr>
      <t xml:space="preserve">', '</t>
    </r>
    <r>
      <rPr>
        <sz val="11"/>
        <rFont val="Noto Sans CJK SC"/>
        <family val="2"/>
      </rPr>
      <t xml:space="preserve">케이스 핵심 수기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항목은 교재의 </t>
    </r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시험관련 코멘트</t>
    </r>
    <r>
      <rPr>
        <sz val="11"/>
        <rFont val="Arial"/>
        <family val="0"/>
        <charset val="1"/>
      </rPr>
      <t xml:space="preserve">]</t>
    </r>
    <r>
      <rPr>
        <sz val="11"/>
        <rFont val="Noto Sans CJK SC"/>
        <family val="2"/>
      </rPr>
      <t xml:space="preserve">를 반영해 다른 항목보다 배점을 높게 잡았습니다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</si>
  <si>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  - LLM </t>
    </r>
    <r>
      <rPr>
        <sz val="11"/>
        <rFont val="Noto Sans CJK SC"/>
        <family val="2"/>
      </rPr>
      <t xml:space="preserve">연동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환자 시뮬레이터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자동 채점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이 채점표가 확정된 후 진행합니다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</si>
  <si>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■ LLM </t>
    </r>
    <r>
      <rPr>
        <b val="true"/>
        <sz val="11"/>
        <rFont val="Noto Sans CJK SC"/>
        <family val="2"/>
      </rPr>
      <t xml:space="preserve">채점 가이드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채팅 기반 </t>
    </r>
    <r>
      <rPr>
        <b val="true"/>
        <sz val="11"/>
        <rFont val="Arial"/>
        <family val="0"/>
        <charset val="1"/>
      </rPr>
      <t xml:space="preserve">CPX</t>
    </r>
    <r>
      <rPr>
        <b val="true"/>
        <sz val="11"/>
        <rFont val="Noto Sans CJK SC"/>
        <family val="2"/>
      </rPr>
      <t xml:space="preserve">의 한계 반영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</si>
  <si>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  - </t>
    </r>
    <r>
      <rPr>
        <sz val="11"/>
        <rFont val="Noto Sans CJK SC"/>
        <family val="2"/>
      </rPr>
      <t xml:space="preserve">이 </t>
    </r>
    <r>
      <rPr>
        <sz val="11"/>
        <rFont val="Arial"/>
        <family val="0"/>
        <charset val="1"/>
      </rPr>
      <t xml:space="preserve">CPX</t>
    </r>
    <r>
      <rPr>
        <sz val="11"/>
        <rFont val="Noto Sans CJK SC"/>
        <family val="2"/>
      </rPr>
      <t xml:space="preserve">는 텍스트 채팅으로 진행되므로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실제 손위생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표정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말투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시진 등 비언어적 행동을 </t>
    </r>
    <r>
      <rPr>
        <sz val="11"/>
        <rFont val="Arial"/>
        <family val="0"/>
        <charset val="1"/>
      </rPr>
      <t xml:space="preserve">LLM</t>
    </r>
    <r>
      <rPr>
        <sz val="11"/>
        <rFont val="Noto Sans CJK SC"/>
        <family val="2"/>
      </rPr>
      <t xml:space="preserve">이 직접 관찰할 수 없습니다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</si>
  <si>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  - PPI 6</t>
    </r>
    <r>
      <rPr>
        <sz val="11"/>
        <rFont val="Noto Sans CJK SC"/>
        <family val="2"/>
      </rPr>
      <t xml:space="preserve">항목 중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경청 자세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대답 여유</t>
    </r>
    <r>
      <rPr>
        <sz val="11"/>
        <rFont val="Arial"/>
        <family val="0"/>
        <charset val="1"/>
      </rPr>
      <t xml:space="preserve">'(1</t>
    </r>
    <r>
      <rPr>
        <sz val="11"/>
        <rFont val="Noto Sans CJK SC"/>
        <family val="2"/>
      </rPr>
      <t xml:space="preserve">번</t>
    </r>
    <r>
      <rPr>
        <sz val="11"/>
        <rFont val="Arial"/>
        <family val="0"/>
        <charset val="1"/>
      </rPr>
      <t xml:space="preserve">), '</t>
    </r>
    <r>
      <rPr>
        <sz val="11"/>
        <rFont val="Noto Sans CJK SC"/>
        <family val="2"/>
      </rPr>
      <t xml:space="preserve">손위생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가려주기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환자안전배려</t>
    </r>
    <r>
      <rPr>
        <sz val="11"/>
        <rFont val="Arial"/>
        <family val="0"/>
        <charset val="1"/>
      </rPr>
      <t xml:space="preserve">'(6</t>
    </r>
    <r>
      <rPr>
        <sz val="11"/>
        <rFont val="Noto Sans CJK SC"/>
        <family val="2"/>
      </rPr>
      <t xml:space="preserve">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신체진찰 태도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는 학생이 괄호 행동 표기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예</t>
    </r>
    <r>
      <rPr>
        <sz val="11"/>
        <rFont val="Arial"/>
        <family val="0"/>
        <charset val="1"/>
      </rPr>
      <t xml:space="preserve">: "(</t>
    </r>
    <r>
      <rPr>
        <sz val="11"/>
        <rFont val="Noto Sans CJK SC"/>
        <family val="2"/>
      </rPr>
      <t xml:space="preserve">손소독제를 사용한다</t>
    </r>
    <r>
      <rPr>
        <sz val="11"/>
        <rFont val="Arial"/>
        <family val="0"/>
        <charset val="1"/>
      </rPr>
      <t xml:space="preserve">)", "(</t>
    </r>
    <r>
      <rPr>
        <sz val="11"/>
        <rFont val="Noto Sans CJK SC"/>
        <family val="2"/>
      </rPr>
      <t xml:space="preserve">검진포로 가려준다</t>
    </r>
    <r>
      <rPr>
        <sz val="11"/>
        <rFont val="Arial"/>
        <family val="0"/>
        <charset val="1"/>
      </rPr>
      <t xml:space="preserve">)")</t>
    </r>
    <r>
      <rPr>
        <sz val="11"/>
        <rFont val="Noto Sans CJK SC"/>
        <family val="2"/>
      </rPr>
      <t xml:space="preserve">로 명시하면 그 텍스트를 근거로 채점합니다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</si>
  <si>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  - </t>
    </r>
    <r>
      <rPr>
        <sz val="11"/>
        <rFont val="Noto Sans CJK SC"/>
        <family val="2"/>
      </rPr>
      <t xml:space="preserve">명시적 언급이 없는 경우</t>
    </r>
    <r>
      <rPr>
        <sz val="11"/>
        <rFont val="Arial"/>
        <family val="0"/>
        <charset val="1"/>
      </rPr>
      <t xml:space="preserve">, LLM</t>
    </r>
    <r>
      <rPr>
        <sz val="11"/>
        <rFont val="Noto Sans CJK SC"/>
        <family val="2"/>
      </rPr>
      <t xml:space="preserve">은 대화 전체의 흐름과 어투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질문이 급박하거나 무례하지 않은지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환자를 배려하는 멘트가 있는지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를 바탕으로 관대하게 추정하여 점수를 부여합니다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엄격한 미흡 처리 대신 보통 수준 이상을 기본값으로 적용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</si>
  <si>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  - </t>
    </r>
    <r>
      <rPr>
        <sz val="11"/>
        <rFont val="Noto Sans CJK SC"/>
        <family val="2"/>
      </rPr>
      <t xml:space="preserve">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촉진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타진처럼 구역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좌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상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하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을 명시해야 하는 신체진찰 항목은 추정 없이 텍스트에 구역이 실제로 언급되었는지로 엄격히 채점합니다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</si>
  <si>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color rgb="FFFFFFFF"/>
        <rFont val="Noto Sans CJK SC"/>
        <family val="2"/>
      </rPr>
      <t xml:space="preserve">증례</t>
    </r>
    <r>
      <rPr>
        <b val="true"/>
        <sz val="11"/>
        <color rgb="FFFFFFFF"/>
        <rFont val="Arial"/>
        <family val="0"/>
        <charset val="1"/>
      </rPr>
      <t xml:space="preserve">ID</t>
    </r>
  </si>
  <si>
    <t xml:space="preserve">환자</t>
  </si>
  <si>
    <t xml:space="preserve">영역</t>
  </si>
  <si>
    <t xml:space="preserve">체크리스트 항목</t>
  </si>
  <si>
    <t xml:space="preserve">배점</t>
  </si>
  <si>
    <t xml:space="preserve">비고</t>
  </si>
  <si>
    <t xml:space="preserve">acute_01</t>
  </si>
  <si>
    <r>
      <rPr>
        <sz val="10"/>
        <rFont val="Noto Sans CJK SC"/>
        <family val="2"/>
      </rPr>
      <t xml:space="preserve">서수민</t>
    </r>
    <r>
      <rPr>
        <sz val="10"/>
        <rFont val="Arial"/>
        <family val="0"/>
        <charset val="1"/>
      </rPr>
      <t xml:space="preserve">(38</t>
    </r>
    <r>
      <rPr>
        <sz val="10"/>
        <rFont val="Noto Sans CJK SC"/>
        <family val="2"/>
      </rPr>
      <t xml:space="preserve">여</t>
    </r>
    <r>
      <rPr>
        <sz val="10"/>
        <rFont val="Arial"/>
        <family val="0"/>
        <charset val="1"/>
      </rPr>
      <t xml:space="preserve">)</t>
    </r>
  </si>
  <si>
    <t xml:space="preserve">병력청취</t>
  </si>
  <si>
    <r>
      <rPr>
        <sz val="10"/>
        <rFont val="Noto Sans CJK SC"/>
        <family val="2"/>
      </rPr>
      <t xml:space="preserve">임신 가능성</t>
    </r>
    <r>
      <rPr>
        <sz val="10"/>
        <rFont val="Arial"/>
        <family val="0"/>
        <charset val="1"/>
      </rPr>
      <t xml:space="preserve">/LMP </t>
    </r>
    <r>
      <rPr>
        <sz val="10"/>
        <rFont val="Noto Sans CJK SC"/>
        <family val="2"/>
      </rPr>
      <t xml:space="preserve">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통증 이동 양상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배꼽주변→우하복부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방사통 여부 문진</t>
    </r>
  </si>
  <si>
    <t xml:space="preserve">케이스 핵심 감별 포인트</t>
  </si>
  <si>
    <r>
      <rPr>
        <sz val="10"/>
        <rFont val="Arial"/>
        <family val="0"/>
        <charset val="1"/>
      </rPr>
      <t xml:space="preserve">OPQRST(</t>
    </r>
    <r>
      <rPr>
        <sz val="10"/>
        <rFont val="Noto Sans CJK SC"/>
        <family val="2"/>
      </rPr>
      <t xml:space="preserve">발병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위치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양상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완화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악화요인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체계적 문진</t>
    </r>
  </si>
  <si>
    <r>
      <rPr>
        <sz val="10"/>
        <rFont val="Noto Sans CJK SC"/>
        <family val="2"/>
      </rPr>
      <t xml:space="preserve">동반 전신증상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발열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체중변화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오한 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</si>
  <si>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동반 소화기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비뇨기 등 계통별 증상 확인</t>
    </r>
  </si>
  <si>
    <r>
      <rPr>
        <sz val="10"/>
        <rFont val="Noto Sans CJK SC"/>
        <family val="2"/>
      </rPr>
      <t xml:space="preserve">과거 유사 병력 및 내시경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검진 이력</t>
    </r>
    <r>
      <rPr>
        <sz val="10"/>
        <rFont val="Arial"/>
        <family val="0"/>
        <charset val="1"/>
      </rPr>
      <t xml:space="preserve">(E) </t>
    </r>
    <r>
      <rPr>
        <sz val="10"/>
        <rFont val="Noto Sans CJK SC"/>
        <family val="2"/>
      </rPr>
      <t xml:space="preserve">확인</t>
    </r>
  </si>
  <si>
    <t xml:space="preserve">복용 약물 확인</t>
  </si>
  <si>
    <r>
      <rPr>
        <sz val="10"/>
        <rFont val="Noto Sans CJK SC"/>
        <family val="2"/>
      </rPr>
      <t xml:space="preserve">사회력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음주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흡연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직업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식습관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</si>
  <si>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가족력 확인 및 여성력</t>
    </r>
    <r>
      <rPr>
        <sz val="10"/>
        <rFont val="Arial"/>
        <family val="0"/>
        <charset val="1"/>
      </rPr>
      <t xml:space="preserve">(LMP/</t>
    </r>
    <r>
      <rPr>
        <sz val="10"/>
        <rFont val="Noto Sans CJK SC"/>
        <family val="2"/>
      </rPr>
      <t xml:space="preserve">임신가능성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</si>
  <si>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환자의 우려사항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질문 반영 문진</t>
    </r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</si>
  <si>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없음</t>
    </r>
  </si>
  <si>
    <t xml:space="preserve">신체진찰</t>
  </si>
  <si>
    <r>
      <rPr>
        <sz val="10"/>
        <rFont val="Arial"/>
        <family val="0"/>
        <charset val="1"/>
      </rPr>
      <t xml:space="preserve">General/Vital sign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</si>
  <si>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복부 시진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청진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타진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촉진 기본 시행</t>
    </r>
  </si>
  <si>
    <r>
      <rPr>
        <sz val="10"/>
        <rFont val="Arial"/>
        <family val="0"/>
        <charset val="1"/>
      </rPr>
      <t xml:space="preserve">Psoas sign/Obturator sign </t>
    </r>
    <r>
      <rPr>
        <sz val="10"/>
        <rFont val="Noto Sans CJK SC"/>
        <family val="2"/>
      </rPr>
      <t xml:space="preserve">시행</t>
    </r>
  </si>
  <si>
    <t xml:space="preserve">케이스 핵심 수기</t>
  </si>
  <si>
    <r>
      <rPr>
        <sz val="10"/>
        <rFont val="Noto Sans CJK SC"/>
        <family val="2"/>
      </rPr>
      <t xml:space="preserve">필요시 </t>
    </r>
    <r>
      <rPr>
        <sz val="10"/>
        <rFont val="Arial"/>
        <family val="0"/>
        <charset val="1"/>
      </rPr>
      <t xml:space="preserve">DRE/</t>
    </r>
    <r>
      <rPr>
        <sz val="10"/>
        <rFont val="Noto Sans CJK SC"/>
        <family val="2"/>
      </rPr>
      <t xml:space="preserve">골반진찰 등 추가 진찰 시행</t>
    </r>
  </si>
  <si>
    <r>
      <rPr>
        <sz val="10"/>
        <rFont val="Arial"/>
        <family val="0"/>
        <charset val="1"/>
      </rPr>
      <t xml:space="preserve">PPI(</t>
    </r>
    <r>
      <rPr>
        <sz val="10"/>
        <rFont val="Noto Sans CJK SC"/>
        <family val="2"/>
      </rPr>
      <t xml:space="preserve">환자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의사관계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</si>
  <si>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내 이야기를 효율적으로 물어보고 잘 들어주었다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척도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아주우수</t>
    </r>
    <r>
      <rPr>
        <sz val="10"/>
        <rFont val="Arial"/>
        <family val="0"/>
        <charset val="1"/>
      </rPr>
      <t xml:space="preserve">=100%/</t>
    </r>
    <r>
      <rPr>
        <sz val="10"/>
        <rFont val="Noto Sans CJK SC"/>
        <family val="2"/>
      </rPr>
      <t xml:space="preserve">우수</t>
    </r>
    <r>
      <rPr>
        <sz val="10"/>
        <rFont val="Arial"/>
        <family val="0"/>
        <charset val="1"/>
      </rPr>
      <t xml:space="preserve">=70%/</t>
    </r>
    <r>
      <rPr>
        <sz val="10"/>
        <rFont val="Noto Sans CJK SC"/>
        <family val="2"/>
      </rPr>
      <t xml:space="preserve">보통</t>
    </r>
    <r>
      <rPr>
        <sz val="10"/>
        <rFont val="Arial"/>
        <family val="0"/>
        <charset val="1"/>
      </rPr>
      <t xml:space="preserve">=40%/</t>
    </r>
    <r>
      <rPr>
        <sz val="10"/>
        <rFont val="Noto Sans CJK SC"/>
        <family val="2"/>
      </rPr>
      <t xml:space="preserve">미흡</t>
    </r>
    <r>
      <rPr>
        <sz val="10"/>
        <rFont val="Arial"/>
        <family val="0"/>
        <charset val="1"/>
      </rPr>
      <t xml:space="preserve">=0%)</t>
    </r>
  </si>
  <si>
    <r>
      <rPr>
        <sz val="10"/>
        <rFont val="Noto Sans CJK SC"/>
        <family val="2"/>
      </rPr>
      <t xml:space="preserve">개방형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폐쇄형 질문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대답 여유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분리 질문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경청 자세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면담주제 협상 </t>
    </r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비언어 요소 포함→명시 없으면 대화 흐름으로 관대하게 추정</t>
    </r>
    <r>
      <rPr>
        <sz val="10"/>
        <rFont val="Arial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</si>
  <si>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나의 생각과 배경을 효과적으로 알아냈다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척도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아주우수</t>
    </r>
    <r>
      <rPr>
        <sz val="10"/>
        <rFont val="Arial"/>
        <family val="0"/>
        <charset val="1"/>
      </rPr>
      <t xml:space="preserve">=100%/</t>
    </r>
    <r>
      <rPr>
        <sz val="10"/>
        <rFont val="Noto Sans CJK SC"/>
        <family val="2"/>
      </rPr>
      <t xml:space="preserve">우수</t>
    </r>
    <r>
      <rPr>
        <sz val="10"/>
        <rFont val="Arial"/>
        <family val="0"/>
        <charset val="1"/>
      </rPr>
      <t xml:space="preserve">=70%/</t>
    </r>
    <r>
      <rPr>
        <sz val="10"/>
        <rFont val="Noto Sans CJK SC"/>
        <family val="2"/>
      </rPr>
      <t xml:space="preserve">보통</t>
    </r>
    <r>
      <rPr>
        <sz val="10"/>
        <rFont val="Arial"/>
        <family val="0"/>
        <charset val="1"/>
      </rPr>
      <t xml:space="preserve">=40%/</t>
    </r>
    <r>
      <rPr>
        <sz val="10"/>
        <rFont val="Noto Sans CJK SC"/>
        <family val="2"/>
      </rPr>
      <t xml:space="preserve">미흡</t>
    </r>
    <r>
      <rPr>
        <sz val="10"/>
        <rFont val="Arial"/>
        <family val="0"/>
        <charset val="1"/>
      </rPr>
      <t xml:space="preserve">=0%)</t>
    </r>
  </si>
  <si>
    <r>
      <rPr>
        <sz val="10"/>
        <rFont val="Noto Sans CJK SC"/>
        <family val="2"/>
      </rPr>
      <t xml:space="preserve">생각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걱정 질문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정서 표현 격려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나의 기대 파악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일상생활 영향 파악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나의 입장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처지 등에 관심</t>
    </r>
  </si>
  <si>
    <r>
      <rPr>
        <sz val="10"/>
        <rFont val="Noto Sans CJK SC"/>
        <family val="2"/>
      </rPr>
      <t xml:space="preserve">내가 이해하기 쉽게 설명하였다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척도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아주우수</t>
    </r>
    <r>
      <rPr>
        <sz val="10"/>
        <rFont val="Arial"/>
        <family val="0"/>
        <charset val="1"/>
      </rPr>
      <t xml:space="preserve">=100%/</t>
    </r>
    <r>
      <rPr>
        <sz val="10"/>
        <rFont val="Noto Sans CJK SC"/>
        <family val="2"/>
      </rPr>
      <t xml:space="preserve">우수</t>
    </r>
    <r>
      <rPr>
        <sz val="10"/>
        <rFont val="Arial"/>
        <family val="0"/>
        <charset val="1"/>
      </rPr>
      <t xml:space="preserve">=70%/</t>
    </r>
    <r>
      <rPr>
        <sz val="10"/>
        <rFont val="Noto Sans CJK SC"/>
        <family val="2"/>
      </rPr>
      <t xml:space="preserve">보통</t>
    </r>
    <r>
      <rPr>
        <sz val="10"/>
        <rFont val="Arial"/>
        <family val="0"/>
        <charset val="1"/>
      </rPr>
      <t xml:space="preserve">=40%/</t>
    </r>
    <r>
      <rPr>
        <sz val="10"/>
        <rFont val="Noto Sans CJK SC"/>
        <family val="2"/>
      </rPr>
      <t xml:space="preserve">미흡</t>
    </r>
    <r>
      <rPr>
        <sz val="10"/>
        <rFont val="Arial"/>
        <family val="0"/>
        <charset val="1"/>
      </rPr>
      <t xml:space="preserve">=0%)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</si>
  <si>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없음</t>
    </r>
  </si>
  <si>
    <r>
      <rPr>
        <sz val="10"/>
        <rFont val="Noto Sans CJK SC"/>
        <family val="2"/>
      </rPr>
      <t xml:space="preserve">나와 좋은 유대관계를 형성하려고 했다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척도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아주우수</t>
    </r>
    <r>
      <rPr>
        <sz val="10"/>
        <rFont val="Arial"/>
        <family val="0"/>
        <charset val="1"/>
      </rPr>
      <t xml:space="preserve">=100%/</t>
    </r>
    <r>
      <rPr>
        <sz val="10"/>
        <rFont val="Noto Sans CJK SC"/>
        <family val="2"/>
      </rPr>
      <t xml:space="preserve">우수</t>
    </r>
    <r>
      <rPr>
        <sz val="10"/>
        <rFont val="Arial"/>
        <family val="0"/>
        <charset val="1"/>
      </rPr>
      <t xml:space="preserve">=70%/</t>
    </r>
    <r>
      <rPr>
        <sz val="10"/>
        <rFont val="Noto Sans CJK SC"/>
        <family val="2"/>
      </rPr>
      <t xml:space="preserve">보통</t>
    </r>
    <r>
      <rPr>
        <sz val="10"/>
        <rFont val="Arial"/>
        <family val="0"/>
        <charset val="1"/>
      </rPr>
      <t xml:space="preserve">=40%/</t>
    </r>
    <r>
      <rPr>
        <sz val="10"/>
        <rFont val="Noto Sans CJK SC"/>
        <family val="2"/>
      </rPr>
      <t xml:space="preserve">미흡</t>
    </r>
    <r>
      <rPr>
        <sz val="10"/>
        <rFont val="Arial"/>
        <family val="0"/>
        <charset val="1"/>
      </rPr>
      <t xml:space="preserve">=0%)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</si>
  <si>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많이 아파서 침대 오고갈 때 많이 느림</t>
    </r>
  </si>
  <si>
    <r>
      <rPr>
        <sz val="10"/>
        <rFont val="Noto Sans CJK SC"/>
        <family val="2"/>
      </rPr>
      <t xml:space="preserve">면담을 체계적으로 이끌어나갔다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척도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아주우수</t>
    </r>
    <r>
      <rPr>
        <sz val="10"/>
        <rFont val="Arial"/>
        <family val="0"/>
        <charset val="1"/>
      </rPr>
      <t xml:space="preserve">=100%/</t>
    </r>
    <r>
      <rPr>
        <sz val="10"/>
        <rFont val="Noto Sans CJK SC"/>
        <family val="2"/>
      </rPr>
      <t xml:space="preserve">우수</t>
    </r>
    <r>
      <rPr>
        <sz val="10"/>
        <rFont val="Arial"/>
        <family val="0"/>
        <charset val="1"/>
      </rPr>
      <t xml:space="preserve">=70%/</t>
    </r>
    <r>
      <rPr>
        <sz val="10"/>
        <rFont val="Noto Sans CJK SC"/>
        <family val="2"/>
      </rPr>
      <t xml:space="preserve">보통</t>
    </r>
    <r>
      <rPr>
        <sz val="10"/>
        <rFont val="Arial"/>
        <family val="0"/>
        <charset val="1"/>
      </rPr>
      <t xml:space="preserve">=40%/</t>
    </r>
    <r>
      <rPr>
        <sz val="10"/>
        <rFont val="Noto Sans CJK SC"/>
        <family val="2"/>
      </rPr>
      <t xml:space="preserve">미흡</t>
    </r>
    <r>
      <rPr>
        <sz val="10"/>
        <rFont val="Arial"/>
        <family val="0"/>
        <charset val="1"/>
      </rPr>
      <t xml:space="preserve">=0%)</t>
    </r>
  </si>
  <si>
    <r>
      <rPr>
        <sz val="10"/>
        <rFont val="Noto Sans CJK SC"/>
        <family val="2"/>
      </rPr>
      <t xml:space="preserve">논리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체계적 순서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적절한 시간 배분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주기적 요약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면담 방향 제시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생각에 따라 질문 이어가기</t>
    </r>
  </si>
  <si>
    <r>
      <rPr>
        <sz val="10"/>
        <rFont val="Noto Sans CJK SC"/>
        <family val="2"/>
      </rPr>
      <t xml:space="preserve">신체진찰 태도가 좋았다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척도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아주우수</t>
    </r>
    <r>
      <rPr>
        <sz val="10"/>
        <rFont val="Arial"/>
        <family val="0"/>
        <charset val="1"/>
      </rPr>
      <t xml:space="preserve">=100%/</t>
    </r>
    <r>
      <rPr>
        <sz val="10"/>
        <rFont val="Noto Sans CJK SC"/>
        <family val="2"/>
      </rPr>
      <t xml:space="preserve">우수</t>
    </r>
    <r>
      <rPr>
        <sz val="10"/>
        <rFont val="Arial"/>
        <family val="0"/>
        <charset val="1"/>
      </rPr>
      <t xml:space="preserve">=70%/</t>
    </r>
    <r>
      <rPr>
        <sz val="10"/>
        <rFont val="Noto Sans CJK SC"/>
        <family val="2"/>
      </rPr>
      <t xml:space="preserve">보통</t>
    </r>
    <r>
      <rPr>
        <sz val="10"/>
        <rFont val="Arial"/>
        <family val="0"/>
        <charset val="1"/>
      </rPr>
      <t xml:space="preserve">=40%/</t>
    </r>
    <r>
      <rPr>
        <sz val="10"/>
        <rFont val="Noto Sans CJK SC"/>
        <family val="2"/>
      </rPr>
      <t xml:space="preserve">미흡</t>
    </r>
    <r>
      <rPr>
        <sz val="10"/>
        <rFont val="Arial"/>
        <family val="0"/>
        <charset val="1"/>
      </rPr>
      <t xml:space="preserve">=0%)</t>
    </r>
  </si>
  <si>
    <r>
      <rPr>
        <sz val="10"/>
        <rFont val="Noto Sans CJK SC"/>
        <family val="2"/>
      </rPr>
      <t xml:space="preserve">손위생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사전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가려주기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환자안전과 불편함 배려 </t>
    </r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손위생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가려주기는 괄호 행동 표기 시만 인정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그 외엔 전반적 태도로 관대하게 추정</t>
    </r>
    <r>
      <rPr>
        <sz val="10"/>
        <rFont val="Arial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</si>
  <si>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임상추론</t>
    </r>
    <r>
      <rPr>
        <sz val="10"/>
        <rFont val="Arial"/>
        <family val="0"/>
        <charset val="1"/>
      </rPr>
      <t xml:space="preserve">(Dx/</t>
    </r>
    <r>
      <rPr>
        <sz val="10"/>
        <rFont val="Noto Sans CJK SC"/>
        <family val="2"/>
      </rPr>
      <t xml:space="preserve">검사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치료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</si>
  <si>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급성 충수돌기염 천공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</si>
  <si>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급성 게실염 천공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난소 염전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</si>
  <si>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흉부 </t>
    </r>
    <r>
      <rPr>
        <sz val="10"/>
        <rFont val="Arial"/>
        <family val="0"/>
        <charset val="1"/>
      </rPr>
      <t xml:space="preserve">X-ray, </t>
    </r>
    <r>
      <rPr>
        <sz val="10"/>
        <rFont val="Noto Sans CJK SC"/>
        <family val="2"/>
      </rPr>
      <t xml:space="preserve">복부 </t>
    </r>
    <r>
      <rPr>
        <sz val="10"/>
        <rFont val="Arial"/>
        <family val="0"/>
        <charset val="1"/>
      </rPr>
      <t xml:space="preserve">CT, </t>
    </r>
    <r>
      <rPr>
        <sz val="10"/>
        <rFont val="Noto Sans CJK SC"/>
        <family val="2"/>
      </rPr>
      <t xml:space="preserve">혈액검사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</si>
  <si>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응급 수술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수액 공급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예방적 항생제</t>
    </r>
  </si>
  <si>
    <t xml:space="preserve">acute_02</t>
  </si>
  <si>
    <r>
      <rPr>
        <sz val="10"/>
        <rFont val="Noto Sans CJK SC"/>
        <family val="2"/>
      </rPr>
      <t xml:space="preserve">박남용</t>
    </r>
    <r>
      <rPr>
        <sz val="10"/>
        <rFont val="Arial"/>
        <family val="0"/>
        <charset val="1"/>
      </rPr>
      <t xml:space="preserve">(42</t>
    </r>
    <r>
      <rPr>
        <sz val="10"/>
        <rFont val="Noto Sans CJK SC"/>
        <family val="2"/>
      </rPr>
      <t xml:space="preserve">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</si>
  <si>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기름진 음식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과식과의 연관성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황달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소변색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가려움 문진</t>
    </r>
  </si>
  <si>
    <t xml:space="preserve">가족력 확인</t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</si>
  <si>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빨리 치료해 주세요</t>
    </r>
  </si>
  <si>
    <r>
      <rPr>
        <sz val="10"/>
        <rFont val="Arial"/>
        <family val="0"/>
        <charset val="1"/>
      </rPr>
      <t xml:space="preserve">Murphy's sign </t>
    </r>
    <r>
      <rPr>
        <sz val="10"/>
        <rFont val="Noto Sans CJK SC"/>
        <family val="2"/>
      </rPr>
      <t xml:space="preserve">시행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</si>
  <si>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빨리 치료해 주세요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</si>
  <si>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응급실로 내원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현재 시간 오후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환자가 배 부여잡고 그냥 앉아 있으나 지금은 조금 나아졌다고 함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올 때 너무 아팠는데 지금은 좀 괜찮아졌다고 함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언제든 불편하면 바로 말씀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진통제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수액 멘트하면 반응 좋음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담낭이 어떤 장기인지 물어볼 때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쓸개라고 알고 있다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고 대답함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</si>
  <si>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담낭염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</si>
  <si>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담도염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위염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</si>
  <si>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복부초음파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복부 </t>
    </r>
    <r>
      <rPr>
        <sz val="10"/>
        <rFont val="Arial"/>
        <family val="0"/>
        <charset val="1"/>
      </rPr>
      <t xml:space="preserve">CT, </t>
    </r>
    <r>
      <rPr>
        <sz val="10"/>
        <rFont val="Noto Sans CJK SC"/>
        <family val="2"/>
      </rPr>
      <t xml:space="preserve">혈액검사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</si>
  <si>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금식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복강경쓸개절제술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생활 습관 교육</t>
    </r>
  </si>
  <si>
    <t xml:space="preserve">acute_03</t>
  </si>
  <si>
    <r>
      <rPr>
        <sz val="10"/>
        <rFont val="Noto Sans CJK SC"/>
        <family val="2"/>
      </rPr>
      <t xml:space="preserve">정민성</t>
    </r>
    <r>
      <rPr>
        <sz val="10"/>
        <rFont val="Arial"/>
        <family val="0"/>
        <charset val="1"/>
      </rPr>
      <t xml:space="preserve">(51</t>
    </r>
    <r>
      <rPr>
        <sz val="10"/>
        <rFont val="Noto Sans CJK SC"/>
        <family val="2"/>
      </rPr>
      <t xml:space="preserve">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</si>
  <si>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체중감소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지방변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다음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다갈 등 췌장기능 관련 문진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음주력 확인</t>
    </r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</si>
  <si>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심각한 병일까요</t>
    </r>
    <r>
      <rPr>
        <sz val="10"/>
        <rFont val="Arial"/>
        <family val="0"/>
        <charset val="1"/>
      </rPr>
      <t xml:space="preserve">?</t>
    </r>
  </si>
  <si>
    <r>
      <rPr>
        <sz val="10"/>
        <rFont val="Arial"/>
        <family val="0"/>
        <charset val="1"/>
      </rPr>
      <t xml:space="preserve">DRE </t>
    </r>
    <r>
      <rPr>
        <sz val="10"/>
        <rFont val="Noto Sans CJK SC"/>
        <family val="2"/>
      </rPr>
      <t xml:space="preserve">시행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</si>
  <si>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심각한 병일까요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</si>
  <si>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응급실에서 진료 진행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</si>
  <si>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만성 췌장염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</si>
  <si>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급성 췌장염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위궤양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</si>
  <si>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복부 </t>
    </r>
    <r>
      <rPr>
        <sz val="10"/>
        <rFont val="Arial"/>
        <family val="0"/>
        <charset val="1"/>
      </rPr>
      <t xml:space="preserve">CT, </t>
    </r>
    <r>
      <rPr>
        <sz val="10"/>
        <rFont val="Noto Sans CJK SC"/>
        <family val="2"/>
      </rPr>
      <t xml:space="preserve">복부초음파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혈중 </t>
    </r>
    <r>
      <rPr>
        <sz val="10"/>
        <rFont val="Arial"/>
        <family val="0"/>
        <charset val="1"/>
      </rPr>
      <t xml:space="preserve">amylase/lipase </t>
    </r>
    <r>
      <rPr>
        <sz val="10"/>
        <rFont val="Noto Sans CJK SC"/>
        <family val="2"/>
      </rPr>
      <t xml:space="preserve">농도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</si>
  <si>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진통제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수분 공급 및 안정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소화효소 보충</t>
    </r>
  </si>
  <si>
    <t xml:space="preserve">acute_04</t>
  </si>
  <si>
    <r>
      <rPr>
        <sz val="10"/>
        <rFont val="Noto Sans CJK SC"/>
        <family val="2"/>
      </rPr>
      <t xml:space="preserve">강오석</t>
    </r>
    <r>
      <rPr>
        <sz val="10"/>
        <rFont val="Arial"/>
        <family val="0"/>
        <charset val="1"/>
      </rPr>
      <t xml:space="preserve">(51</t>
    </r>
    <r>
      <rPr>
        <sz val="10"/>
        <rFont val="Noto Sans CJK SC"/>
        <family val="2"/>
      </rPr>
      <t xml:space="preserve">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</si>
  <si>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통증 양상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칼로 찢는 듯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과 자세에 따른 변화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음주력 확인</t>
    </r>
  </si>
  <si>
    <r>
      <rPr>
        <sz val="10"/>
        <rFont val="Arial"/>
        <family val="0"/>
        <charset val="1"/>
      </rPr>
      <t xml:space="preserve">DRE </t>
    </r>
    <r>
      <rPr>
        <sz val="10"/>
        <rFont val="Noto Sans CJK SC"/>
        <family val="2"/>
      </rPr>
      <t xml:space="preserve">및 복막자극징후 확인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</si>
  <si>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소화성궤양 천공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</si>
  <si>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급성 췌장염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췌장 농양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</si>
  <si>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흉부 </t>
    </r>
    <r>
      <rPr>
        <sz val="10"/>
        <rFont val="Arial"/>
        <family val="0"/>
        <charset val="1"/>
      </rPr>
      <t xml:space="preserve">X-ray, </t>
    </r>
    <r>
      <rPr>
        <sz val="10"/>
        <rFont val="Noto Sans CJK SC"/>
        <family val="2"/>
      </rPr>
      <t xml:space="preserve">복부 </t>
    </r>
    <r>
      <rPr>
        <sz val="10"/>
        <rFont val="Arial"/>
        <family val="0"/>
        <charset val="1"/>
      </rPr>
      <t xml:space="preserve">X-ray, </t>
    </r>
    <r>
      <rPr>
        <sz val="10"/>
        <rFont val="Noto Sans CJK SC"/>
        <family val="2"/>
      </rPr>
      <t xml:space="preserve">복부 </t>
    </r>
    <r>
      <rPr>
        <sz val="10"/>
        <rFont val="Arial"/>
        <family val="0"/>
        <charset val="1"/>
      </rPr>
      <t xml:space="preserve">CT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</si>
  <si>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항문 직장 진찰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종양 감별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조영제 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설명동의서 받기</t>
    </r>
  </si>
  <si>
    <t xml:space="preserve">acute_05</t>
  </si>
  <si>
    <r>
      <rPr>
        <sz val="10"/>
        <rFont val="Noto Sans CJK SC"/>
        <family val="2"/>
      </rPr>
      <t xml:space="preserve">이영자</t>
    </r>
    <r>
      <rPr>
        <sz val="10"/>
        <rFont val="Arial"/>
        <family val="0"/>
        <charset val="1"/>
      </rPr>
      <t xml:space="preserve">(80</t>
    </r>
    <r>
      <rPr>
        <sz val="10"/>
        <rFont val="Noto Sans CJK SC"/>
        <family val="2"/>
      </rPr>
      <t xml:space="preserve">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</si>
  <si>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황달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가려움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소변색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대변색 변화 문진</t>
    </r>
  </si>
  <si>
    <r>
      <rPr>
        <sz val="10"/>
        <rFont val="Noto Sans CJK SC"/>
        <family val="2"/>
      </rPr>
      <t xml:space="preserve">결막 황달 확인</t>
    </r>
    <r>
      <rPr>
        <sz val="10"/>
        <rFont val="Arial"/>
        <family val="0"/>
        <charset val="1"/>
      </rPr>
      <t xml:space="preserve">, DRE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</si>
  <si>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진통제 여부 물어보았으나 복용 과거력 없음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만성 복통으로 접근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</si>
  <si>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췌장 두부암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담도암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</si>
  <si>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복부 </t>
    </r>
    <r>
      <rPr>
        <sz val="10"/>
        <rFont val="Arial"/>
        <family val="0"/>
        <charset val="1"/>
      </rPr>
      <t xml:space="preserve">CT, </t>
    </r>
    <r>
      <rPr>
        <sz val="10"/>
        <rFont val="Noto Sans CJK SC"/>
        <family val="2"/>
      </rPr>
      <t xml:space="preserve">혈중 </t>
    </r>
    <r>
      <rPr>
        <sz val="10"/>
        <rFont val="Arial"/>
        <family val="0"/>
        <charset val="1"/>
      </rPr>
      <t xml:space="preserve">amylase/lipase, </t>
    </r>
    <r>
      <rPr>
        <sz val="10"/>
        <rFont val="Noto Sans CJK SC"/>
        <family val="2"/>
      </rPr>
      <t xml:space="preserve">간기능검사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</si>
  <si>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항문 직장 진찰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조영제 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설명동의서 받기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황달 관련 문진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가려움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소변색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대변색</t>
    </r>
    <r>
      <rPr>
        <sz val="10"/>
        <rFont val="Arial"/>
        <family val="0"/>
        <charset val="1"/>
      </rPr>
      <t xml:space="preserve">)</t>
    </r>
  </si>
  <si>
    <t xml:space="preserve">acute_06</t>
  </si>
  <si>
    <r>
      <rPr>
        <sz val="10"/>
        <rFont val="Noto Sans CJK SC"/>
        <family val="2"/>
      </rPr>
      <t xml:space="preserve">김한빛</t>
    </r>
    <r>
      <rPr>
        <sz val="10"/>
        <rFont val="Arial"/>
        <family val="0"/>
        <charset val="1"/>
      </rPr>
      <t xml:space="preserve">(27</t>
    </r>
    <r>
      <rPr>
        <sz val="10"/>
        <rFont val="Noto Sans CJK SC"/>
        <family val="2"/>
      </rPr>
      <t xml:space="preserve">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</si>
  <si>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임신 가능성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생리 관련 부인과 문진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통증 이동 양상 확인</t>
    </r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</si>
  <si>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검사 결과는 오늘 다 나오나요</t>
    </r>
    <r>
      <rPr>
        <sz val="10"/>
        <rFont val="Arial"/>
        <family val="0"/>
        <charset val="1"/>
      </rPr>
      <t xml:space="preserve">?</t>
    </r>
  </si>
  <si>
    <r>
      <rPr>
        <sz val="10"/>
        <rFont val="Arial"/>
        <family val="0"/>
        <charset val="1"/>
      </rPr>
      <t xml:space="preserve">Rovsing/Psoas/Obturator sign </t>
    </r>
    <r>
      <rPr>
        <sz val="10"/>
        <rFont val="Noto Sans CJK SC"/>
        <family val="2"/>
      </rPr>
      <t xml:space="preserve">시행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</si>
  <si>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검사 결과는 오늘 다 나오나요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</si>
  <si>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충수돌기염 가능성이 높기 때문에 응급 수술의 가능성에 대해 설명하였음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</si>
  <si>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급성 충수돌기염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</si>
  <si>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급성 게실염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난소 염전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</si>
  <si>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복부 </t>
    </r>
    <r>
      <rPr>
        <sz val="10"/>
        <rFont val="Arial"/>
        <family val="0"/>
        <charset val="1"/>
      </rPr>
      <t xml:space="preserve">CT, </t>
    </r>
    <r>
      <rPr>
        <sz val="10"/>
        <rFont val="Noto Sans CJK SC"/>
        <family val="2"/>
      </rPr>
      <t xml:space="preserve">골반초음파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혈중 염증 수치</t>
    </r>
    <r>
      <rPr>
        <sz val="10"/>
        <rFont val="Arial"/>
        <family val="0"/>
        <charset val="1"/>
      </rPr>
      <t xml:space="preserve">(ESR, CRP)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</si>
  <si>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Rovsing/Obturator/Psoas sign </t>
    </r>
    <r>
      <rPr>
        <sz val="10"/>
        <rFont val="Noto Sans CJK SC"/>
        <family val="2"/>
      </rPr>
      <t xml:space="preserve">시행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항문 직장 진찰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조영제 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설명동의서 받기</t>
    </r>
  </si>
  <si>
    <t xml:space="preserve">acute_07</t>
  </si>
  <si>
    <r>
      <rPr>
        <sz val="10"/>
        <rFont val="Noto Sans CJK SC"/>
        <family val="2"/>
      </rPr>
      <t xml:space="preserve">양지희</t>
    </r>
    <r>
      <rPr>
        <sz val="10"/>
        <rFont val="Arial"/>
        <family val="0"/>
        <charset val="1"/>
      </rPr>
      <t xml:space="preserve">(29</t>
    </r>
    <r>
      <rPr>
        <sz val="10"/>
        <rFont val="Noto Sans CJK SC"/>
        <family val="2"/>
      </rPr>
      <t xml:space="preserve">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</si>
  <si>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혈뇨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배뇨통 등 비뇨기 증상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콜릭성 통증 양상 확인</t>
    </r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</si>
  <si>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-</t>
    </r>
  </si>
  <si>
    <r>
      <rPr>
        <sz val="10"/>
        <rFont val="Arial"/>
        <family val="0"/>
        <charset val="1"/>
      </rPr>
      <t xml:space="preserve">CVA tenderness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</si>
  <si>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-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</si>
  <si>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-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</si>
  <si>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요로결석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</si>
  <si>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신우신염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난소 염전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</si>
  <si>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복부 </t>
    </r>
    <r>
      <rPr>
        <sz val="10"/>
        <rFont val="Arial"/>
        <family val="0"/>
        <charset val="1"/>
      </rPr>
      <t xml:space="preserve">X-ray, </t>
    </r>
    <r>
      <rPr>
        <sz val="10"/>
        <rFont val="Noto Sans CJK SC"/>
        <family val="2"/>
      </rPr>
      <t xml:space="preserve">복부초음파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복부 </t>
    </r>
    <r>
      <rPr>
        <sz val="10"/>
        <rFont val="Arial"/>
        <family val="0"/>
        <charset val="1"/>
      </rPr>
      <t xml:space="preserve">CT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</si>
  <si>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CVA tenderness </t>
    </r>
    <r>
      <rPr>
        <sz val="10"/>
        <rFont val="Noto Sans CJK SC"/>
        <family val="2"/>
      </rPr>
      <t xml:space="preserve">확인을 빠뜨리지 말 것</t>
    </r>
  </si>
  <si>
    <t xml:space="preserve">acute_08</t>
  </si>
  <si>
    <r>
      <rPr>
        <sz val="10"/>
        <rFont val="Noto Sans CJK SC"/>
        <family val="2"/>
      </rPr>
      <t xml:space="preserve">이지은</t>
    </r>
    <r>
      <rPr>
        <sz val="10"/>
        <rFont val="Arial"/>
        <family val="0"/>
        <charset val="1"/>
      </rPr>
      <t xml:space="preserve">(28</t>
    </r>
    <r>
      <rPr>
        <sz val="10"/>
        <rFont val="Noto Sans CJK SC"/>
        <family val="2"/>
      </rPr>
      <t xml:space="preserve">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</si>
  <si>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임신 가능성</t>
    </r>
    <r>
      <rPr>
        <sz val="10"/>
        <rFont val="Arial"/>
        <family val="0"/>
        <charset val="1"/>
      </rPr>
      <t xml:space="preserve">/LMP </t>
    </r>
    <r>
      <rPr>
        <sz val="10"/>
        <rFont val="Noto Sans CJK SC"/>
        <family val="2"/>
      </rPr>
      <t xml:space="preserve">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질출혈 양상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어지럼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실신감 등 쇼크 징후 문진</t>
    </r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</si>
  <si>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혹시 수술을 해야 하나요</t>
    </r>
    <r>
      <rPr>
        <sz val="10"/>
        <rFont val="Arial"/>
        <family val="0"/>
        <charset val="1"/>
      </rPr>
      <t xml:space="preserve">? </t>
    </r>
    <r>
      <rPr>
        <sz val="10"/>
        <rFont val="Noto Sans CJK SC"/>
        <family val="2"/>
      </rPr>
      <t xml:space="preserve">아이는 가질 수 있는 건가요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</si>
  <si>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골반 내진 및 자궁목 유동 압통</t>
    </r>
    <r>
      <rPr>
        <sz val="10"/>
        <rFont val="Arial"/>
        <family val="0"/>
        <charset val="1"/>
      </rPr>
      <t xml:space="preserve">(CMT)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</si>
  <si>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혹시 수술을 해야 하나요</t>
    </r>
    <r>
      <rPr>
        <sz val="10"/>
        <rFont val="Arial"/>
        <family val="0"/>
        <charset val="1"/>
      </rPr>
      <t xml:space="preserve">? </t>
    </r>
    <r>
      <rPr>
        <sz val="10"/>
        <rFont val="Noto Sans CJK SC"/>
        <family val="2"/>
      </rPr>
      <t xml:space="preserve">아이는 가질 수 있는 건가요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</si>
  <si>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통증이 너무 심해 식은땀을 흘리며 아랫배를 움켜쥐고 다리를 구부린 자세를 유지함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</si>
  <si>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자궁 외 임신 파열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</si>
  <si>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난소 낭종 파열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급성 충수돌기염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</si>
  <si>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Urine/Serum b-hCG </t>
    </r>
    <r>
      <rPr>
        <sz val="10"/>
        <rFont val="Noto Sans CJK SC"/>
        <family val="2"/>
      </rPr>
      <t xml:space="preserve">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골반 초음파</t>
    </r>
    <r>
      <rPr>
        <sz val="10"/>
        <rFont val="Arial"/>
        <family val="0"/>
        <charset val="1"/>
      </rPr>
      <t xml:space="preserve">(Transvaginal US), </t>
    </r>
    <r>
      <rPr>
        <sz val="10"/>
        <rFont val="Noto Sans CJK SC"/>
        <family val="2"/>
      </rPr>
      <t xml:space="preserve">전체혈구검사</t>
    </r>
    <r>
      <rPr>
        <sz val="10"/>
        <rFont val="Arial"/>
        <family val="0"/>
        <charset val="1"/>
      </rPr>
      <t xml:space="preserve">(CBC, Hb </t>
    </r>
    <r>
      <rPr>
        <sz val="10"/>
        <rFont val="Noto Sans CJK SC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</si>
  <si>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응급 수술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복강경 또는 개복 하 난관절제술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다량의 수액 공급 및 수혈 준비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진통제 투여</t>
    </r>
  </si>
  <si>
    <t xml:space="preserve">acute_09</t>
  </si>
  <si>
    <r>
      <rPr>
        <sz val="10"/>
        <rFont val="Noto Sans CJK SC"/>
        <family val="2"/>
      </rPr>
      <t xml:space="preserve">최영수</t>
    </r>
    <r>
      <rPr>
        <sz val="10"/>
        <rFont val="Arial"/>
        <family val="0"/>
        <charset val="1"/>
      </rPr>
      <t xml:space="preserve">(45</t>
    </r>
    <r>
      <rPr>
        <sz val="10"/>
        <rFont val="Noto Sans CJK SC"/>
        <family val="2"/>
      </rPr>
      <t xml:space="preserve">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</si>
  <si>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복부 수술력</t>
    </r>
    <r>
      <rPr>
        <sz val="10"/>
        <rFont val="Arial"/>
        <family val="0"/>
        <charset val="1"/>
      </rPr>
      <t xml:space="preserve">(PSH), </t>
    </r>
    <r>
      <rPr>
        <sz val="10"/>
        <rFont val="Noto Sans CJK SC"/>
        <family val="2"/>
      </rPr>
      <t xml:space="preserve">가스 배출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배변 여부 확인</t>
    </r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</si>
  <si>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가스가 너무 차서 그런데 변비약이나 관장을 좀 해주시면 안 되나요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</si>
  <si>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복부 시진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팽만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수술흉터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및 청진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금속성 장음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</si>
  <si>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가스가 너무 차서 그런데 변비약이나 관장을 좀 해주시면 안 되나요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</si>
  <si>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잦은 구역질로 대화 도중 구토할 것 같은 모션을 취함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배가 아플 때 끙끙 앓는 소리를 냄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</si>
  <si>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수술 후 유착에 의한 장폐색</t>
    </r>
    <r>
      <rPr>
        <sz val="10"/>
        <rFont val="Arial"/>
        <family val="0"/>
        <charset val="1"/>
      </rPr>
      <t xml:space="preserve">(Adhesion ileus)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</si>
  <si>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장중첩증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장염전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대장암에 의한 폐색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</si>
  <si>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복부 단순 방사선 검사</t>
    </r>
    <r>
      <rPr>
        <sz val="10"/>
        <rFont val="Arial"/>
        <family val="0"/>
        <charset val="1"/>
      </rPr>
      <t xml:space="preserve">(Erect/Supine Plain X-ray, </t>
    </r>
    <r>
      <rPr>
        <sz val="10"/>
        <rFont val="Noto Sans CJK SC"/>
        <family val="2"/>
      </rPr>
      <t xml:space="preserve">가스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액체층 확인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복부 조영 </t>
    </r>
    <r>
      <rPr>
        <sz val="10"/>
        <rFont val="Arial"/>
        <family val="0"/>
        <charset val="1"/>
      </rPr>
      <t xml:space="preserve">CT (</t>
    </r>
    <r>
      <rPr>
        <sz val="10"/>
        <rFont val="Noto Sans CJK SC"/>
        <family val="2"/>
      </rPr>
      <t xml:space="preserve">폐색 이행 부위 확인 및 장괴사 여부 평가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전해질 및 혈액 검사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</si>
  <si>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금식</t>
    </r>
    <r>
      <rPr>
        <sz val="10"/>
        <rFont val="Arial"/>
        <family val="0"/>
        <charset val="1"/>
      </rPr>
      <t xml:space="preserve">(NPO) </t>
    </r>
    <r>
      <rPr>
        <sz val="10"/>
        <rFont val="Noto Sans CJK SC"/>
        <family val="2"/>
      </rPr>
      <t xml:space="preserve">및 수액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전해질 공급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코위관</t>
    </r>
    <r>
      <rPr>
        <sz val="10"/>
        <rFont val="Arial"/>
        <family val="0"/>
        <charset val="1"/>
      </rPr>
      <t xml:space="preserve">(L-tube) </t>
    </r>
    <r>
      <rPr>
        <sz val="10"/>
        <rFont val="Noto Sans CJK SC"/>
        <family val="2"/>
      </rPr>
      <t xml:space="preserve">삽입을 통한 감압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보존적 치료 실패 시 유착박리술 등 수술적 치료 고려</t>
    </r>
  </si>
  <si>
    <t xml:space="preserve">acute_10</t>
  </si>
  <si>
    <r>
      <rPr>
        <sz val="10"/>
        <rFont val="Noto Sans CJK SC"/>
        <family val="2"/>
      </rPr>
      <t xml:space="preserve">김명진</t>
    </r>
    <r>
      <rPr>
        <sz val="10"/>
        <rFont val="Arial"/>
        <family val="0"/>
        <charset val="1"/>
      </rPr>
      <t xml:space="preserve">(34</t>
    </r>
    <r>
      <rPr>
        <sz val="10"/>
        <rFont val="Noto Sans CJK SC"/>
        <family val="2"/>
      </rPr>
      <t xml:space="preserve">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</si>
  <si>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혈뇨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배뇨통 등 비뇨기 증상과 콜릭성 통증 양상 확인</t>
    </r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</si>
  <si>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진통제 주사 좀 먼저 빨리 놓아주시면 안 되나요</t>
    </r>
    <r>
      <rPr>
        <sz val="10"/>
        <rFont val="Arial"/>
        <family val="0"/>
        <charset val="1"/>
      </rPr>
      <t xml:space="preserve">? </t>
    </r>
    <r>
      <rPr>
        <sz val="10"/>
        <rFont val="Noto Sans CJK SC"/>
        <family val="2"/>
      </rPr>
      <t xml:space="preserve">죽을 것 같아요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</si>
  <si>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진통제 주사 좀 먼저 빨리 놓아주시면 안 되나요</t>
    </r>
    <r>
      <rPr>
        <sz val="10"/>
        <rFont val="Arial"/>
        <family val="0"/>
        <charset val="1"/>
      </rPr>
      <t xml:space="preserve">? </t>
    </r>
    <r>
      <rPr>
        <sz val="10"/>
        <rFont val="Noto Sans CJK SC"/>
        <family val="2"/>
      </rPr>
      <t xml:space="preserve">죽을 것 같아요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</si>
  <si>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침대에 가만히 눕지 못하고 앉았다 일어났다 하며 몸을 웅크리고 뒹굴며 괴로워함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</si>
  <si>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우측 요관 결석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</si>
  <si>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급성 신우신염</t>
    </r>
    <r>
      <rPr>
        <sz val="10"/>
        <rFont val="Arial"/>
        <family val="0"/>
        <charset val="1"/>
      </rPr>
      <t xml:space="preserve">(APN), </t>
    </r>
    <r>
      <rPr>
        <sz val="10"/>
        <rFont val="Noto Sans CJK SC"/>
        <family val="2"/>
      </rPr>
      <t xml:space="preserve">급성 충수돌기염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</si>
  <si>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소변 검사</t>
    </r>
    <r>
      <rPr>
        <sz val="10"/>
        <rFont val="Arial"/>
        <family val="0"/>
        <charset val="1"/>
      </rPr>
      <t xml:space="preserve">(Urinalysis, </t>
    </r>
    <r>
      <rPr>
        <sz val="10"/>
        <rFont val="Noto Sans CJK SC"/>
        <family val="2"/>
      </rPr>
      <t xml:space="preserve">현미경적 혈뇨 확인</t>
    </r>
    <r>
      <rPr>
        <sz val="10"/>
        <rFont val="Arial"/>
        <family val="0"/>
        <charset val="1"/>
      </rPr>
      <t xml:space="preserve">), KUB(</t>
    </r>
    <r>
      <rPr>
        <sz val="10"/>
        <rFont val="Noto Sans CJK SC"/>
        <family val="2"/>
      </rPr>
      <t xml:space="preserve">단순 요로 방사선 검사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복부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골반 비조영 </t>
    </r>
    <r>
      <rPr>
        <sz val="10"/>
        <rFont val="Arial"/>
        <family val="0"/>
        <charset val="1"/>
      </rPr>
      <t xml:space="preserve">CT(Non-contrast CT)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</si>
  <si>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마약성 진통제 또는 </t>
    </r>
    <r>
      <rPr>
        <sz val="10"/>
        <rFont val="Arial"/>
        <family val="0"/>
        <charset val="1"/>
      </rPr>
      <t xml:space="preserve">NSAIDs </t>
    </r>
    <r>
      <rPr>
        <sz val="10"/>
        <rFont val="Noto Sans CJK SC"/>
        <family val="2"/>
      </rPr>
      <t xml:space="preserve">주사 투여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통증 조절 우선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충분한 수액 공급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가이드라인에 따른 수화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결석 크기에 따라 체외충격파쇄석술</t>
    </r>
    <r>
      <rPr>
        <sz val="10"/>
        <rFont val="Arial"/>
        <family val="0"/>
        <charset val="1"/>
      </rPr>
      <t xml:space="preserve">(ESWL) </t>
    </r>
    <r>
      <rPr>
        <sz val="10"/>
        <rFont val="Noto Sans CJK SC"/>
        <family val="2"/>
      </rPr>
      <t xml:space="preserve">또는 자연 배출 대기</t>
    </r>
  </si>
  <si>
    <t xml:space="preserve">acute_11</t>
  </si>
  <si>
    <r>
      <rPr>
        <sz val="10"/>
        <rFont val="Noto Sans CJK SC"/>
        <family val="2"/>
      </rPr>
      <t xml:space="preserve">송정자</t>
    </r>
    <r>
      <rPr>
        <sz val="10"/>
        <rFont val="Arial"/>
        <family val="0"/>
        <charset val="1"/>
      </rPr>
      <t xml:space="preserve">(56</t>
    </r>
    <r>
      <rPr>
        <sz val="10"/>
        <rFont val="Noto Sans CJK SC"/>
        <family val="2"/>
      </rPr>
      <t xml:space="preserve">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</si>
  <si>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기름진 음식과의 연관성 및 통증 지속시간</t>
    </r>
    <r>
      <rPr>
        <sz val="10"/>
        <rFont val="Arial"/>
        <family val="0"/>
        <charset val="1"/>
      </rPr>
      <t xml:space="preserve">(1~5</t>
    </r>
    <r>
      <rPr>
        <sz val="10"/>
        <rFont val="Noto Sans CJK SC"/>
        <family val="2"/>
      </rPr>
      <t xml:space="preserve">시간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</si>
  <si>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체한 줄 알고 손도 따봤는데 왜 자꾸 고기만 먹으면 이럴까요</t>
    </r>
    <r>
      <rPr>
        <sz val="10"/>
        <rFont val="Arial"/>
        <family val="0"/>
        <charset val="1"/>
      </rPr>
      <t xml:space="preserve">? </t>
    </r>
    <r>
      <rPr>
        <sz val="10"/>
        <rFont val="Noto Sans CJK SC"/>
        <family val="2"/>
      </rPr>
      <t xml:space="preserve">위암 같은 건가요</t>
    </r>
    <r>
      <rPr>
        <sz val="10"/>
        <rFont val="Arial"/>
        <family val="0"/>
        <charset val="1"/>
      </rPr>
      <t xml:space="preserve">?</t>
    </r>
  </si>
  <si>
    <r>
      <rPr>
        <sz val="10"/>
        <rFont val="Arial"/>
        <family val="0"/>
        <charset val="1"/>
      </rPr>
      <t xml:space="preserve">Murphy's sign </t>
    </r>
    <r>
      <rPr>
        <sz val="10"/>
        <rFont val="Noto Sans CJK SC"/>
        <family val="2"/>
      </rPr>
      <t xml:space="preserve">및 황달 확인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</si>
  <si>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체한 줄 알고 손도 따봤는데 왜 자꾸 고기만 먹으면 이럴까요</t>
    </r>
    <r>
      <rPr>
        <sz val="10"/>
        <rFont val="Arial"/>
        <family val="0"/>
        <charset val="1"/>
      </rPr>
      <t xml:space="preserve">? </t>
    </r>
    <r>
      <rPr>
        <sz val="10"/>
        <rFont val="Noto Sans CJK SC"/>
        <family val="2"/>
      </rPr>
      <t xml:space="preserve">위암 같은 건가요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</si>
  <si>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이야기 도중 기름진 음식을 좋아하는 식습관을 멋쩍게 웃으며 이야기함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</si>
  <si>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급성 담낭염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초기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</si>
  <si>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담석증에 의한 담도산통</t>
    </r>
    <r>
      <rPr>
        <sz val="10"/>
        <rFont val="Arial"/>
        <family val="0"/>
        <charset val="1"/>
      </rPr>
      <t xml:space="preserve">(Biliary colic), </t>
    </r>
    <r>
      <rPr>
        <sz val="10"/>
        <rFont val="Noto Sans CJK SC"/>
        <family val="2"/>
      </rPr>
      <t xml:space="preserve">기능성 소화불량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위궤양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</si>
  <si>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상복부 초음파 검사</t>
    </r>
    <r>
      <rPr>
        <sz val="10"/>
        <rFont val="Arial"/>
        <family val="0"/>
        <charset val="1"/>
      </rPr>
      <t xml:space="preserve">(Gallstone </t>
    </r>
    <r>
      <rPr>
        <sz val="10"/>
        <rFont val="Noto Sans CJK SC"/>
        <family val="2"/>
      </rPr>
      <t xml:space="preserve">확인 및 담낭벽 두께 확인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간기능 검사</t>
    </r>
    <r>
      <rPr>
        <sz val="10"/>
        <rFont val="Arial"/>
        <family val="0"/>
        <charset val="1"/>
      </rPr>
      <t xml:space="preserve">(LFT, Bilirubin/ALP/GGT </t>
    </r>
    <r>
      <rPr>
        <sz val="10"/>
        <rFont val="Noto Sans CJK SC"/>
        <family val="2"/>
      </rPr>
      <t xml:space="preserve">확인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전체혈구검사</t>
    </r>
    <r>
      <rPr>
        <sz val="10"/>
        <rFont val="Arial"/>
        <family val="0"/>
        <charset val="1"/>
      </rPr>
      <t xml:space="preserve">(CBC, </t>
    </r>
    <r>
      <rPr>
        <sz val="10"/>
        <rFont val="Noto Sans CJK SC"/>
        <family val="2"/>
      </rPr>
      <t xml:space="preserve">백혈구 상승 여부 배제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</si>
  <si>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저지방 식이요법 및 식습관 교정 교육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통증 발생 시 진통제 투여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증상이 반복되므로 향후 선택적 복강경 담낭절제술 권유</t>
    </r>
  </si>
  <si>
    <t xml:space="preserve">chronic_01</t>
  </si>
  <si>
    <r>
      <rPr>
        <sz val="10"/>
        <rFont val="Noto Sans CJK SC"/>
        <family val="2"/>
      </rPr>
      <t xml:space="preserve">이상혁</t>
    </r>
    <r>
      <rPr>
        <sz val="10"/>
        <rFont val="Arial"/>
        <family val="0"/>
        <charset val="1"/>
      </rPr>
      <t xml:space="preserve">(42</t>
    </r>
    <r>
      <rPr>
        <sz val="10"/>
        <rFont val="Noto Sans CJK SC"/>
        <family val="2"/>
      </rPr>
      <t xml:space="preserve">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</si>
  <si>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체중감소 및 식전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공복 시 악화 양상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궤양 시사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확인</t>
    </r>
  </si>
  <si>
    <r>
      <rPr>
        <sz val="10"/>
        <rFont val="Arial"/>
        <family val="0"/>
        <charset val="1"/>
      </rPr>
      <t xml:space="preserve">Epigastric tenderness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</si>
  <si>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제시문에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배가 아프다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고만 적혀 있어 급성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만성 여부 모른 상태로 들어감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환자 대답 빠르고 잘 대답해 주심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</si>
  <si>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십이지장궤양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</si>
  <si>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위염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위궤양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기능성 소화불량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</si>
  <si>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상부위장관내시경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요소날숨검사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</si>
  <si>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약물 치료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생활 습관 교정</t>
    </r>
  </si>
  <si>
    <t xml:space="preserve">chronic_02</t>
  </si>
  <si>
    <r>
      <rPr>
        <sz val="10"/>
        <rFont val="Noto Sans CJK SC"/>
        <family val="2"/>
      </rPr>
      <t xml:space="preserve">차순혁</t>
    </r>
    <r>
      <rPr>
        <sz val="10"/>
        <rFont val="Arial"/>
        <family val="0"/>
        <charset val="1"/>
      </rPr>
      <t xml:space="preserve">(42</t>
    </r>
    <r>
      <rPr>
        <sz val="10"/>
        <rFont val="Noto Sans CJK SC"/>
        <family val="2"/>
      </rPr>
      <t xml:space="preserve">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</si>
  <si>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가족력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췌장염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담낭암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과 음주력 확인</t>
    </r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</si>
  <si>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큰아버지가 담낭암이라서 걱정돼요</t>
    </r>
  </si>
  <si>
    <r>
      <rPr>
        <sz val="10"/>
        <rFont val="Arial"/>
        <family val="0"/>
        <charset val="1"/>
      </rPr>
      <t xml:space="preserve">Murphy's sign, CVAT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</si>
  <si>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큰아버지가 담낭암이라서 걱정돼요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</si>
  <si>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없음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</si>
  <si>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위궤양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위염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기능성 소화불량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</si>
  <si>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복부영상검사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혈액검사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상부위장내시경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</si>
  <si>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생활 습관 교정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췌장소화효소제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진경제</t>
    </r>
  </si>
  <si>
    <t xml:space="preserve">chronic_03</t>
  </si>
  <si>
    <r>
      <rPr>
        <sz val="10"/>
        <rFont val="Noto Sans CJK SC"/>
        <family val="2"/>
      </rPr>
      <t xml:space="preserve">박태민</t>
    </r>
    <r>
      <rPr>
        <sz val="10"/>
        <rFont val="Arial"/>
        <family val="0"/>
        <charset val="1"/>
      </rPr>
      <t xml:space="preserve">(50</t>
    </r>
    <r>
      <rPr>
        <sz val="10"/>
        <rFont val="Noto Sans CJK SC"/>
        <family val="2"/>
      </rPr>
      <t xml:space="preserve">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</si>
  <si>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체중감소 정도와 경고증상</t>
    </r>
    <r>
      <rPr>
        <sz val="10"/>
        <rFont val="Arial"/>
        <family val="0"/>
        <charset val="1"/>
      </rPr>
      <t xml:space="preserve">(red flag) </t>
    </r>
    <r>
      <rPr>
        <sz val="10"/>
        <rFont val="Noto Sans CJK SC"/>
        <family val="2"/>
      </rPr>
      <t xml:space="preserve">확인</t>
    </r>
  </si>
  <si>
    <t xml:space="preserve">복부 압통 여부 정밀 확인</t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</si>
  <si>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대답 빨리 해줌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</si>
  <si>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위염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</si>
  <si>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위암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위궤양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</si>
  <si>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상부위장관내시경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혈액검사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복부 </t>
    </r>
    <r>
      <rPr>
        <sz val="10"/>
        <rFont val="Arial"/>
        <family val="0"/>
        <charset val="1"/>
      </rPr>
      <t xml:space="preserve">CT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</si>
  <si>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양성자 펌프 억제제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스트레스 관리</t>
    </r>
  </si>
  <si>
    <t xml:space="preserve">chronic_04</t>
  </si>
  <si>
    <r>
      <rPr>
        <sz val="10"/>
        <rFont val="Noto Sans CJK SC"/>
        <family val="2"/>
      </rPr>
      <t xml:space="preserve">박지영</t>
    </r>
    <r>
      <rPr>
        <sz val="10"/>
        <rFont val="Arial"/>
        <family val="0"/>
        <charset val="1"/>
      </rPr>
      <t xml:space="preserve">(55</t>
    </r>
    <r>
      <rPr>
        <sz val="10"/>
        <rFont val="Noto Sans CJK SC"/>
        <family val="2"/>
      </rPr>
      <t xml:space="preserve">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</si>
  <si>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체중감소 및 식후 패턴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당뇨 조절 상태 확인</t>
    </r>
  </si>
  <si>
    <r>
      <rPr>
        <sz val="10"/>
        <rFont val="Noto Sans CJK SC"/>
        <family val="2"/>
      </rPr>
      <t xml:space="preserve">반동압통</t>
    </r>
    <r>
      <rPr>
        <sz val="10"/>
        <rFont val="Arial"/>
        <family val="0"/>
        <charset val="1"/>
      </rPr>
      <t xml:space="preserve">(rebound tenderness) </t>
    </r>
    <r>
      <rPr>
        <sz val="10"/>
        <rFont val="Noto Sans CJK SC"/>
        <family val="2"/>
      </rPr>
      <t xml:space="preserve">여부 명확히 확인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</si>
  <si>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SP </t>
    </r>
    <r>
      <rPr>
        <sz val="10"/>
        <rFont val="Noto Sans CJK SC"/>
        <family val="2"/>
      </rPr>
      <t xml:space="preserve">순응도 좋고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대답도 빠름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</si>
  <si>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일차성 소화불량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</si>
  <si>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위내시경</t>
    </r>
    <r>
      <rPr>
        <sz val="10"/>
        <rFont val="Arial"/>
        <family val="0"/>
        <charset val="1"/>
      </rPr>
      <t xml:space="preserve">, H. pylori </t>
    </r>
    <r>
      <rPr>
        <sz val="10"/>
        <rFont val="Noto Sans CJK SC"/>
        <family val="2"/>
      </rPr>
      <t xml:space="preserve">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위배출시간검사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</si>
  <si>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생활 습관 교육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악성인 경우 병기에 따른 치료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혈당 조절</t>
    </r>
  </si>
  <si>
    <t xml:space="preserve">chronic_05</t>
  </si>
  <si>
    <r>
      <rPr>
        <sz val="10"/>
        <rFont val="Noto Sans CJK SC"/>
        <family val="2"/>
      </rPr>
      <t xml:space="preserve">김소린</t>
    </r>
    <r>
      <rPr>
        <sz val="10"/>
        <rFont val="Arial"/>
        <family val="0"/>
        <charset val="1"/>
      </rPr>
      <t xml:space="preserve">(51</t>
    </r>
    <r>
      <rPr>
        <sz val="10"/>
        <rFont val="Noto Sans CJK SC"/>
        <family val="2"/>
      </rPr>
      <t xml:space="preserve">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</si>
  <si>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배변과의 연관성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스트레스 요인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자녀 문제 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확인</t>
    </r>
  </si>
  <si>
    <t xml:space="preserve">복부 촉진 및 골반 내진</t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</si>
  <si>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제시문 상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복통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이라고만 적혀 있어 급성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만성 유무 모른 상태로 들어감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</si>
  <si>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과민성 대장증후군</t>
    </r>
    <r>
      <rPr>
        <sz val="10"/>
        <rFont val="Arial"/>
        <family val="0"/>
        <charset val="1"/>
      </rPr>
      <t xml:space="preserve">(IBS)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</si>
  <si>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감염성 장염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난소 염전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</si>
  <si>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대장내시경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대변배양검사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복부영상검사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</si>
  <si>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스트레스 조절 방법과 생활 습관 교육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수액 치료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지사제</t>
    </r>
  </si>
  <si>
    <t xml:space="preserve">chronic_06</t>
  </si>
  <si>
    <r>
      <rPr>
        <sz val="10"/>
        <rFont val="Noto Sans CJK SC"/>
        <family val="2"/>
      </rPr>
      <t xml:space="preserve">김지현</t>
    </r>
    <r>
      <rPr>
        <sz val="10"/>
        <rFont val="Arial"/>
        <family val="0"/>
        <charset val="1"/>
      </rPr>
      <t xml:space="preserve">(23</t>
    </r>
    <r>
      <rPr>
        <sz val="10"/>
        <rFont val="Noto Sans CJK SC"/>
        <family val="2"/>
      </rPr>
      <t xml:space="preserve">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</si>
  <si>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스트레스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식습관 및 경고증상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체중감소 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부재 확인</t>
    </r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</si>
  <si>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큰 병이 아닐까 걱정돼요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</si>
  <si>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큰 병이 아닐까 걱정돼요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</si>
  <si>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말이 느려서 빠르게 진행해야 함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</si>
  <si>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위염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위궤양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</si>
  <si>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기능성 소화불량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</si>
  <si>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위내시경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복부영상검사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</si>
  <si>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생활 습관 교정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약물 치료</t>
    </r>
  </si>
  <si>
    <t xml:space="preserve">chronic_07</t>
  </si>
  <si>
    <r>
      <rPr>
        <sz val="10"/>
        <rFont val="Noto Sans CJK SC"/>
        <family val="2"/>
      </rPr>
      <t xml:space="preserve">김숙영</t>
    </r>
    <r>
      <rPr>
        <sz val="10"/>
        <rFont val="Arial"/>
        <family val="0"/>
        <charset val="1"/>
      </rPr>
      <t xml:space="preserve">(40</t>
    </r>
    <r>
      <rPr>
        <sz val="10"/>
        <rFont val="Noto Sans CJK SC"/>
        <family val="2"/>
      </rPr>
      <t xml:space="preserve">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</si>
  <si>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복용 약물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항생제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소염제 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구체적 확인</t>
    </r>
  </si>
  <si>
    <r>
      <rPr>
        <sz val="10"/>
        <rFont val="Arial"/>
        <family val="0"/>
        <charset val="1"/>
      </rPr>
      <t xml:space="preserve">DRE </t>
    </r>
    <r>
      <rPr>
        <sz val="10"/>
        <rFont val="Noto Sans CJK SC"/>
        <family val="2"/>
      </rPr>
      <t xml:space="preserve">시행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혈변 감별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</si>
  <si>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복용 약제에 대해 항생제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소염제 등 구체적으로 물어볼 것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</si>
  <si>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위궤양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위암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</si>
  <si>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위내시경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신속요소분해효소검사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전체혈구검사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</si>
  <si>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항문 직장 진찰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혈변 감별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위내시경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조직생검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조영제 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설명동의서 받기</t>
    </r>
  </si>
  <si>
    <t xml:space="preserve">chronic_08</t>
  </si>
  <si>
    <r>
      <rPr>
        <sz val="10"/>
        <rFont val="Noto Sans CJK SC"/>
        <family val="2"/>
      </rPr>
      <t xml:space="preserve">김혜선</t>
    </r>
    <r>
      <rPr>
        <sz val="10"/>
        <rFont val="Arial"/>
        <family val="0"/>
        <charset val="1"/>
      </rPr>
      <t xml:space="preserve">(54</t>
    </r>
    <r>
      <rPr>
        <sz val="10"/>
        <rFont val="Noto Sans CJK SC"/>
        <family val="2"/>
      </rPr>
      <t xml:space="preserve">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</si>
  <si>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당뇨 조절 상태</t>
    </r>
    <r>
      <rPr>
        <sz val="10"/>
        <rFont val="Arial"/>
        <family val="0"/>
        <charset val="1"/>
      </rPr>
      <t xml:space="preserve">(HbA1c, </t>
    </r>
    <r>
      <rPr>
        <sz val="10"/>
        <rFont val="Noto Sans CJK SC"/>
        <family val="2"/>
      </rPr>
      <t xml:space="preserve">약물 순응도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</si>
  <si>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큰 병일까봐 걱정돼요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</si>
  <si>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큰 병일까봐 걱정돼요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</si>
  <si>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당뇨약 잘 먹고 있는지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당 수치 잘 조절되고 있는지 구체적으로 물어봐야 함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</si>
  <si>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당뇨병성 위마비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</si>
  <si>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기능성 소화불량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만성 위염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</si>
  <si>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상부위장관내시경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혈중 </t>
    </r>
    <r>
      <rPr>
        <sz val="10"/>
        <rFont val="Arial"/>
        <family val="0"/>
        <charset val="1"/>
      </rPr>
      <t xml:space="preserve">HbA1c, </t>
    </r>
    <r>
      <rPr>
        <sz val="10"/>
        <rFont val="Noto Sans CJK SC"/>
        <family val="2"/>
      </rPr>
      <t xml:space="preserve">경구혈당검사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복부 </t>
    </r>
    <r>
      <rPr>
        <sz val="10"/>
        <rFont val="Arial"/>
        <family val="0"/>
        <charset val="1"/>
      </rPr>
      <t xml:space="preserve">X-ray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</si>
  <si>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항문 직장 진찰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위내시경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조직생검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조영제 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설명동의서 받기</t>
    </r>
  </si>
  <si>
    <t xml:space="preserve">extra_01</t>
  </si>
  <si>
    <r>
      <rPr>
        <sz val="10"/>
        <rFont val="Noto Sans CJK SC"/>
        <family val="2"/>
      </rPr>
      <t xml:space="preserve">오민지</t>
    </r>
    <r>
      <rPr>
        <sz val="10"/>
        <rFont val="Arial"/>
        <family val="0"/>
        <charset val="1"/>
      </rPr>
      <t xml:space="preserve">(31</t>
    </r>
    <r>
      <rPr>
        <sz val="10"/>
        <rFont val="Noto Sans CJK SC"/>
        <family val="2"/>
      </rPr>
      <t xml:space="preserve">여</t>
    </r>
    <r>
      <rPr>
        <sz val="10"/>
        <rFont val="Arial"/>
        <family val="0"/>
        <charset val="1"/>
      </rPr>
      <t xml:space="preserve">)</t>
    </r>
  </si>
  <si>
    <t xml:space="preserve">공동 식사자 등 역학적 노출력 확인</t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</si>
  <si>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수액 맞으면 빨리 나아요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</si>
  <si>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탈수 소견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피부긴장도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구강점막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평가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</si>
  <si>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수액 맞으면 빨리 나아요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</si>
  <si>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같이 식사한 동료들도 비슷한 증상이 있다고 자발적으로 말함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역학적 단서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</si>
  <si>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급성 위장관염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식중독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</si>
  <si>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급성 충수돌기염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염증성 장질환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</si>
  <si>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대변배양검사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전해질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신기능검사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복부영상검사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감별 필요시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</si>
  <si>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수액 공급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전해질 교정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대증 치료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지사제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해열제</t>
    </r>
    <r>
      <rPr>
        <sz val="10"/>
        <rFont val="Arial"/>
        <family val="0"/>
        <charset val="1"/>
      </rPr>
      <t xml:space="preserve">)</t>
    </r>
  </si>
  <si>
    <t xml:space="preserve">extra_02</t>
  </si>
  <si>
    <r>
      <rPr>
        <sz val="10"/>
        <rFont val="Noto Sans CJK SC"/>
        <family val="2"/>
      </rPr>
      <t xml:space="preserve">한소연</t>
    </r>
    <r>
      <rPr>
        <sz val="10"/>
        <rFont val="Arial"/>
        <family val="0"/>
        <charset val="1"/>
      </rPr>
      <t xml:space="preserve">(24</t>
    </r>
    <r>
      <rPr>
        <sz val="10"/>
        <rFont val="Noto Sans CJK SC"/>
        <family val="2"/>
      </rPr>
      <t xml:space="preserve">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</si>
  <si>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성생활력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성매개감염 위험요인 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임신 가능성 배제</t>
    </r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</si>
  <si>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성병인가요</t>
    </r>
    <r>
      <rPr>
        <sz val="10"/>
        <rFont val="Arial"/>
        <family val="0"/>
        <charset val="1"/>
      </rPr>
      <t xml:space="preserve">? </t>
    </r>
    <r>
      <rPr>
        <sz val="10"/>
        <rFont val="Noto Sans CJK SC"/>
        <family val="2"/>
      </rPr>
      <t xml:space="preserve">파트너도 검사 받아야 하나요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</si>
  <si>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골반 내진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자궁목 유동압통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부속기 압통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</si>
  <si>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성병인가요</t>
    </r>
    <r>
      <rPr>
        <sz val="10"/>
        <rFont val="Arial"/>
        <family val="0"/>
        <charset val="1"/>
      </rPr>
      <t xml:space="preserve">? </t>
    </r>
    <r>
      <rPr>
        <sz val="10"/>
        <rFont val="Noto Sans CJK SC"/>
        <family val="2"/>
      </rPr>
      <t xml:space="preserve">파트너도 검사 받아야 하나요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</si>
  <si>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성생활 관련 질문에 처음엔 머뭇거림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비밀 보장을 먼저 안내하면 솔직하게 답변함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</si>
  <si>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골반염증성질환</t>
    </r>
    <r>
      <rPr>
        <sz val="10"/>
        <rFont val="Arial"/>
        <family val="0"/>
        <charset val="1"/>
      </rPr>
      <t xml:space="preserve">(PID)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</si>
  <si>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자궁외임신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난소염전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</si>
  <si>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임신반응검사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필수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감별진단 배제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골반초음파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자궁경부 분비물 배양</t>
    </r>
    <r>
      <rPr>
        <sz val="10"/>
        <rFont val="Arial"/>
        <family val="0"/>
        <charset val="1"/>
      </rPr>
      <t xml:space="preserve">/STD </t>
    </r>
    <r>
      <rPr>
        <sz val="10"/>
        <rFont val="Noto Sans CJK SC"/>
        <family val="2"/>
      </rPr>
      <t xml:space="preserve">검사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</si>
  <si>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경험적 항생제 치료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파트너 동반 치료 권고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성매개감염 예방 교육</t>
    </r>
  </si>
  <si>
    <t xml:space="preserve">extra_03</t>
  </si>
  <si>
    <r>
      <rPr>
        <sz val="10"/>
        <rFont val="Noto Sans CJK SC"/>
        <family val="2"/>
      </rPr>
      <t xml:space="preserve">최병호</t>
    </r>
    <r>
      <rPr>
        <sz val="10"/>
        <rFont val="Arial"/>
        <family val="0"/>
        <charset val="1"/>
      </rPr>
      <t xml:space="preserve">(58</t>
    </r>
    <r>
      <rPr>
        <sz val="10"/>
        <rFont val="Noto Sans CJK SC"/>
        <family val="2"/>
      </rPr>
      <t xml:space="preserve">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</si>
  <si>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NSAID/</t>
    </r>
    <r>
      <rPr>
        <sz val="10"/>
        <rFont val="Noto Sans CJK SC"/>
        <family val="2"/>
      </rPr>
      <t xml:space="preserve">항응고제 복용력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흑색변 여부 확인</t>
    </r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</si>
  <si>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피를 토했는데 위험한가요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</si>
  <si>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직장수지검사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흑색변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및 기립성 저혈압 등 쇼크 징후 확인</t>
    </r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</si>
  <si>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피를 토했는데 위험한가요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</si>
  <si>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처음에는 어지러움을 별 일 아닌 듯 말하지만 토혈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흑색변 직접 물어보면 인정함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</si>
  <si>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상부위장관출혈</t>
    </r>
    <r>
      <rPr>
        <sz val="10"/>
        <rFont val="Arial"/>
        <family val="0"/>
        <charset val="1"/>
      </rPr>
      <t xml:space="preserve">(NSAID </t>
    </r>
    <r>
      <rPr>
        <sz val="10"/>
        <rFont val="Noto Sans CJK SC"/>
        <family val="2"/>
      </rPr>
      <t xml:space="preserve">관련 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십이지장궤양 출혈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</si>
  <si>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출혈성 위염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식도정맥류 출혈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</si>
  <si>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혈색소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혈액형 및 교차검사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응급 상부위장관내시경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생체징후 모니터링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</si>
  <si>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수액 및 수혈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양성자 펌프 억제제 정맥 투여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내시경적 지혈술</t>
    </r>
  </si>
  <si>
    <t xml:space="preserve">extra_04</t>
  </si>
  <si>
    <r>
      <rPr>
        <sz val="10"/>
        <rFont val="Noto Sans CJK SC"/>
        <family val="2"/>
      </rPr>
      <t xml:space="preserve">정태일</t>
    </r>
    <r>
      <rPr>
        <sz val="10"/>
        <rFont val="Arial"/>
        <family val="0"/>
        <charset val="1"/>
      </rPr>
      <t xml:space="preserve">(63</t>
    </r>
    <r>
      <rPr>
        <sz val="10"/>
        <rFont val="Noto Sans CJK SC"/>
        <family val="2"/>
      </rPr>
      <t xml:space="preserve">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</si>
  <si>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심혈관 위험요인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당뇨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고혈압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흡연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가족력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및 방사통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어깨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확인</t>
    </r>
  </si>
  <si>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소화가 안 돼서 그런 거 아닐까요</t>
    </r>
    <r>
      <rPr>
        <sz val="10"/>
        <rFont val="Arial"/>
        <family val="0"/>
        <charset val="1"/>
      </rPr>
      <t xml:space="preserve">?</t>
    </r>
  </si>
  <si>
    <t xml:space="preserve">심전도 우선 고려 및 발한 등 전신소견 확인</t>
  </si>
  <si>
    <r>
      <rPr>
        <sz val="10"/>
        <rFont val="Noto Sans CJK SC"/>
        <family val="2"/>
      </rPr>
      <t xml:space="preserve">쉬운 용어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필요한 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 의견과 선택권 고려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기억하기 쉽게 설명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이해 점검 및 질문 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근거 있는 설명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환자 질문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소화가 안 돼서 그런 거 아닐까요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</si>
  <si>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편하게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공감과 지지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무비판적 수용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진정성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솔직함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편안한 분위기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자신감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특이사항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환자가 스스로 소화불량으로 단정하고 있어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통증 양상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방사통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관련 위험요인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당뇨로 인한 무통성 심근경색 가능성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을 적극적으로 재확인해야 함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</si>
  <si>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추정진단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급성 심근경색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비전형적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상복부 통증으로 발현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</si>
  <si>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순위 감별진단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불안정형 협심증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급성 위염</t>
    </r>
  </si>
  <si>
    <r>
      <rPr>
        <sz val="10"/>
        <rFont val="Noto Sans CJK SC"/>
        <family val="2"/>
      </rPr>
      <t xml:space="preserve">핵심 검사 제안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심전도</t>
    </r>
    <r>
      <rPr>
        <sz val="10"/>
        <rFont val="Arial"/>
        <family val="0"/>
        <charset val="1"/>
      </rPr>
      <t xml:space="preserve">(ECG, </t>
    </r>
    <r>
      <rPr>
        <sz val="10"/>
        <rFont val="Noto Sans CJK SC"/>
        <family val="2"/>
      </rPr>
      <t xml:space="preserve">최우선</t>
    </r>
    <r>
      <rPr>
        <sz val="10"/>
        <rFont val="Arial"/>
        <family val="0"/>
        <charset val="1"/>
      </rPr>
      <t xml:space="preserve">), Troponin </t>
    </r>
    <r>
      <rPr>
        <sz val="10"/>
        <rFont val="Noto Sans CJK SC"/>
        <family val="2"/>
      </rPr>
      <t xml:space="preserve">등 심장표지자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흉부 </t>
    </r>
    <r>
      <rPr>
        <sz val="10"/>
        <rFont val="Arial"/>
        <family val="0"/>
        <charset val="1"/>
      </rPr>
      <t xml:space="preserve">X-ray</t>
    </r>
  </si>
  <si>
    <r>
      <rPr>
        <sz val="10"/>
        <rFont val="Noto Sans CJK SC"/>
        <family val="2"/>
      </rPr>
      <t xml:space="preserve">치료계획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예상술기 언급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즉시 심전도 확인 후 심장내과 협진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산소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아스피린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니트로글리세린 등 </t>
    </r>
    <r>
      <rPr>
        <sz val="10"/>
        <rFont val="Arial"/>
        <family val="0"/>
        <charset val="1"/>
      </rPr>
      <t xml:space="preserve">ACS </t>
    </r>
    <r>
      <rPr>
        <sz val="10"/>
        <rFont val="Noto Sans CJK SC"/>
        <family val="2"/>
      </rPr>
      <t xml:space="preserve">프로토콜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모니터링 하 응급 이송</t>
    </r>
  </si>
  <si>
    <r>
      <rPr>
        <b val="true"/>
        <sz val="11"/>
        <color rgb="FFFFFFFF"/>
        <rFont val="Noto Sans CJK SC"/>
        <family val="2"/>
      </rPr>
      <t xml:space="preserve">병력청취</t>
    </r>
    <r>
      <rPr>
        <b val="true"/>
        <sz val="11"/>
        <color rgb="FFFFFFFF"/>
        <rFont val="Arial"/>
        <family val="0"/>
        <charset val="1"/>
      </rPr>
      <t xml:space="preserve">(40)</t>
    </r>
  </si>
  <si>
    <r>
      <rPr>
        <b val="true"/>
        <sz val="11"/>
        <color rgb="FFFFFFFF"/>
        <rFont val="Noto Sans CJK SC"/>
        <family val="2"/>
      </rPr>
      <t xml:space="preserve">신체진찰</t>
    </r>
    <r>
      <rPr>
        <b val="true"/>
        <sz val="11"/>
        <color rgb="FFFFFFFF"/>
        <rFont val="Arial"/>
        <family val="0"/>
        <charset val="1"/>
      </rPr>
      <t xml:space="preserve">(20)</t>
    </r>
  </si>
  <si>
    <t xml:space="preserve">PPI(20)</t>
  </si>
  <si>
    <r>
      <rPr>
        <b val="true"/>
        <sz val="11"/>
        <color rgb="FFFFFFFF"/>
        <rFont val="Noto Sans CJK SC"/>
        <family val="2"/>
      </rPr>
      <t xml:space="preserve">임상추론</t>
    </r>
    <r>
      <rPr>
        <b val="true"/>
        <sz val="11"/>
        <color rgb="FFFFFFFF"/>
        <rFont val="Arial"/>
        <family val="0"/>
        <charset val="1"/>
      </rPr>
      <t xml:space="preserve">(20)</t>
    </r>
  </si>
  <si>
    <r>
      <rPr>
        <b val="true"/>
        <sz val="11"/>
        <color rgb="FFFFFFFF"/>
        <rFont val="Noto Sans CJK SC"/>
        <family val="2"/>
      </rPr>
      <t xml:space="preserve">총점</t>
    </r>
    <r>
      <rPr>
        <b val="true"/>
        <sz val="11"/>
        <color rgb="FFFFFFFF"/>
        <rFont val="Arial"/>
        <family val="0"/>
        <charset val="1"/>
      </rPr>
      <t xml:space="preserve">(100)</t>
    </r>
  </si>
  <si>
    <r>
      <rPr>
        <sz val="11"/>
        <rFont val="Noto Sans CJK SC"/>
        <family val="2"/>
      </rPr>
      <t xml:space="preserve">서수민</t>
    </r>
    <r>
      <rPr>
        <sz val="11"/>
        <rFont val="Arial"/>
        <family val="0"/>
        <charset val="1"/>
      </rPr>
      <t xml:space="preserve">(38</t>
    </r>
    <r>
      <rPr>
        <sz val="11"/>
        <rFont val="Noto Sans CJK SC"/>
        <family val="2"/>
      </rPr>
      <t xml:space="preserve">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</si>
  <si>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박남용</t>
    </r>
    <r>
      <rPr>
        <sz val="11"/>
        <rFont val="Arial"/>
        <family val="0"/>
        <charset val="1"/>
      </rPr>
      <t xml:space="preserve">(42</t>
    </r>
    <r>
      <rPr>
        <sz val="11"/>
        <rFont val="Noto Sans CJK SC"/>
        <family val="2"/>
      </rPr>
      <t xml:space="preserve">남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</si>
  <si>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정민성</t>
    </r>
    <r>
      <rPr>
        <sz val="11"/>
        <rFont val="Arial"/>
        <family val="0"/>
        <charset val="1"/>
      </rPr>
      <t xml:space="preserve">(51</t>
    </r>
    <r>
      <rPr>
        <sz val="11"/>
        <rFont val="Noto Sans CJK SC"/>
        <family val="2"/>
      </rPr>
      <t xml:space="preserve">남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</si>
  <si>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강오석</t>
    </r>
    <r>
      <rPr>
        <sz val="11"/>
        <rFont val="Arial"/>
        <family val="0"/>
        <charset val="1"/>
      </rPr>
      <t xml:space="preserve">(51</t>
    </r>
    <r>
      <rPr>
        <sz val="11"/>
        <rFont val="Noto Sans CJK SC"/>
        <family val="2"/>
      </rPr>
      <t xml:space="preserve">남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</si>
  <si>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이영자</t>
    </r>
    <r>
      <rPr>
        <sz val="11"/>
        <rFont val="Arial"/>
        <family val="0"/>
        <charset val="1"/>
      </rPr>
      <t xml:space="preserve">(80</t>
    </r>
    <r>
      <rPr>
        <sz val="11"/>
        <rFont val="Noto Sans CJK SC"/>
        <family val="2"/>
      </rPr>
      <t xml:space="preserve">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</si>
  <si>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김한빛</t>
    </r>
    <r>
      <rPr>
        <sz val="11"/>
        <rFont val="Arial"/>
        <family val="0"/>
        <charset val="1"/>
      </rPr>
      <t xml:space="preserve">(27</t>
    </r>
    <r>
      <rPr>
        <sz val="11"/>
        <rFont val="Noto Sans CJK SC"/>
        <family val="2"/>
      </rPr>
      <t xml:space="preserve">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</si>
  <si>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양지희</t>
    </r>
    <r>
      <rPr>
        <sz val="11"/>
        <rFont val="Arial"/>
        <family val="0"/>
        <charset val="1"/>
      </rPr>
      <t xml:space="preserve">(29</t>
    </r>
    <r>
      <rPr>
        <sz val="11"/>
        <rFont val="Noto Sans CJK SC"/>
        <family val="2"/>
      </rPr>
      <t xml:space="preserve">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</si>
  <si>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이지은</t>
    </r>
    <r>
      <rPr>
        <sz val="11"/>
        <rFont val="Arial"/>
        <family val="0"/>
        <charset val="1"/>
      </rPr>
      <t xml:space="preserve">(28</t>
    </r>
    <r>
      <rPr>
        <sz val="11"/>
        <rFont val="Noto Sans CJK SC"/>
        <family val="2"/>
      </rPr>
      <t xml:space="preserve">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</si>
  <si>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최영수</t>
    </r>
    <r>
      <rPr>
        <sz val="11"/>
        <rFont val="Arial"/>
        <family val="0"/>
        <charset val="1"/>
      </rPr>
      <t xml:space="preserve">(45</t>
    </r>
    <r>
      <rPr>
        <sz val="11"/>
        <rFont val="Noto Sans CJK SC"/>
        <family val="2"/>
      </rPr>
      <t xml:space="preserve">남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</si>
  <si>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김명진</t>
    </r>
    <r>
      <rPr>
        <sz val="11"/>
        <rFont val="Arial"/>
        <family val="0"/>
        <charset val="1"/>
      </rPr>
      <t xml:space="preserve">(34</t>
    </r>
    <r>
      <rPr>
        <sz val="11"/>
        <rFont val="Noto Sans CJK SC"/>
        <family val="2"/>
      </rPr>
      <t xml:space="preserve">남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</si>
  <si>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송정자</t>
    </r>
    <r>
      <rPr>
        <sz val="11"/>
        <rFont val="Arial"/>
        <family val="0"/>
        <charset val="1"/>
      </rPr>
      <t xml:space="preserve">(56</t>
    </r>
    <r>
      <rPr>
        <sz val="11"/>
        <rFont val="Noto Sans CJK SC"/>
        <family val="2"/>
      </rPr>
      <t xml:space="preserve">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</si>
  <si>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이상혁</t>
    </r>
    <r>
      <rPr>
        <sz val="11"/>
        <rFont val="Arial"/>
        <family val="0"/>
        <charset val="1"/>
      </rPr>
      <t xml:space="preserve">(42</t>
    </r>
    <r>
      <rPr>
        <sz val="11"/>
        <rFont val="Noto Sans CJK SC"/>
        <family val="2"/>
      </rPr>
      <t xml:space="preserve">남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</si>
  <si>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차순혁</t>
    </r>
    <r>
      <rPr>
        <sz val="11"/>
        <rFont val="Arial"/>
        <family val="0"/>
        <charset val="1"/>
      </rPr>
      <t xml:space="preserve">(42</t>
    </r>
    <r>
      <rPr>
        <sz val="11"/>
        <rFont val="Noto Sans CJK SC"/>
        <family val="2"/>
      </rPr>
      <t xml:space="preserve">남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</si>
  <si>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박태민</t>
    </r>
    <r>
      <rPr>
        <sz val="11"/>
        <rFont val="Arial"/>
        <family val="0"/>
        <charset val="1"/>
      </rPr>
      <t xml:space="preserve">(50</t>
    </r>
    <r>
      <rPr>
        <sz val="11"/>
        <rFont val="Noto Sans CJK SC"/>
        <family val="2"/>
      </rPr>
      <t xml:space="preserve">남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</si>
  <si>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박지영</t>
    </r>
    <r>
      <rPr>
        <sz val="11"/>
        <rFont val="Arial"/>
        <family val="0"/>
        <charset val="1"/>
      </rPr>
      <t xml:space="preserve">(55</t>
    </r>
    <r>
      <rPr>
        <sz val="11"/>
        <rFont val="Noto Sans CJK SC"/>
        <family val="2"/>
      </rPr>
      <t xml:space="preserve">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</si>
  <si>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김소린</t>
    </r>
    <r>
      <rPr>
        <sz val="11"/>
        <rFont val="Arial"/>
        <family val="0"/>
        <charset val="1"/>
      </rPr>
      <t xml:space="preserve">(51</t>
    </r>
    <r>
      <rPr>
        <sz val="11"/>
        <rFont val="Noto Sans CJK SC"/>
        <family val="2"/>
      </rPr>
      <t xml:space="preserve">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</si>
  <si>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김지현</t>
    </r>
    <r>
      <rPr>
        <sz val="11"/>
        <rFont val="Arial"/>
        <family val="0"/>
        <charset val="1"/>
      </rPr>
      <t xml:space="preserve">(23</t>
    </r>
    <r>
      <rPr>
        <sz val="11"/>
        <rFont val="Noto Sans CJK SC"/>
        <family val="2"/>
      </rPr>
      <t xml:space="preserve">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</si>
  <si>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김숙영</t>
    </r>
    <r>
      <rPr>
        <sz val="11"/>
        <rFont val="Arial"/>
        <family val="0"/>
        <charset val="1"/>
      </rPr>
      <t xml:space="preserve">(40</t>
    </r>
    <r>
      <rPr>
        <sz val="11"/>
        <rFont val="Noto Sans CJK SC"/>
        <family val="2"/>
      </rPr>
      <t xml:space="preserve">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</si>
  <si>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김혜선</t>
    </r>
    <r>
      <rPr>
        <sz val="11"/>
        <rFont val="Arial"/>
        <family val="0"/>
        <charset val="1"/>
      </rPr>
      <t xml:space="preserve">(54</t>
    </r>
    <r>
      <rPr>
        <sz val="11"/>
        <rFont val="Noto Sans CJK SC"/>
        <family val="2"/>
      </rPr>
      <t xml:space="preserve">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</si>
  <si>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오민지</t>
    </r>
    <r>
      <rPr>
        <sz val="11"/>
        <rFont val="Arial"/>
        <family val="0"/>
        <charset val="1"/>
      </rPr>
      <t xml:space="preserve">(31</t>
    </r>
    <r>
      <rPr>
        <sz val="11"/>
        <rFont val="Noto Sans CJK SC"/>
        <family val="2"/>
      </rPr>
      <t xml:space="preserve">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</si>
  <si>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한소연</t>
    </r>
    <r>
      <rPr>
        <sz val="11"/>
        <rFont val="Arial"/>
        <family val="0"/>
        <charset val="1"/>
      </rPr>
      <t xml:space="preserve">(24</t>
    </r>
    <r>
      <rPr>
        <sz val="11"/>
        <rFont val="Noto Sans CJK SC"/>
        <family val="2"/>
      </rPr>
      <t xml:space="preserve">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</si>
  <si>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최병호</t>
    </r>
    <r>
      <rPr>
        <sz val="11"/>
        <rFont val="Arial"/>
        <family val="0"/>
        <charset val="1"/>
      </rPr>
      <t xml:space="preserve">(58</t>
    </r>
    <r>
      <rPr>
        <sz val="11"/>
        <rFont val="Noto Sans CJK SC"/>
        <family val="2"/>
      </rPr>
      <t xml:space="preserve">남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</si>
  <si>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정태일</t>
    </r>
    <r>
      <rPr>
        <sz val="11"/>
        <rFont val="Arial"/>
        <family val="0"/>
        <charset val="1"/>
      </rPr>
      <t xml:space="preserve">(63</t>
    </r>
    <r>
      <rPr>
        <sz val="11"/>
        <rFont val="Noto Sans CJK SC"/>
        <family val="2"/>
      </rPr>
      <t xml:space="preserve">남</t>
    </r>
    <r>
      <rPr>
        <sz val="11"/>
        <rFont val="Arial"/>
        <family val="0"/>
        <charset val="1"/>
      </rPr>
      <t xml:space="preserve">)</t>
    </r>
  </si>
  <si>
    <t xml:space="preserve">평균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</si>
</sst>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sz val="11"/>
      <name val="Arial"/>
      <family val="0"/>
      <charset val="1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sz val="11"/>
      <name val="Noto Sans CJK SC"/>
      <family val="2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7.15" hidden="false" customHeight="false" outlineLevel="0" collapsed="false">
      <c r="A3" s="3" t="s">
        <v>1</v>
      </c>
    </row>
    <row r="4" customFormat="false" ht="17.15" hidden="false" customHeight="false" outlineLevel="0" collapsed="false">
      <c r="A4" s="2" t="s">
        <v>2</v>
      </c>
    </row>
    <row r="5" customFormat="false" ht="17.15" hidden="false" customHeight="false" outlineLevel="0" collapsed="false">
      <c r="A5" s="2" t="s">
        <v>3</v>
      </c>
    </row>
    <row r="6" customFormat="false" ht="17.15" hidden="false" customHeight="false" outlineLevel="0" collapsed="false">
      <c r="A6" s="2" t="s">
        <v>4</v>
      </c>
    </row>
    <row r="7" customFormat="false" ht="17.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4" t="s">
        <v>13</v>
      </c>
    </row>
    <row r="19" customFormat="false" ht="17.15" hidden="false" customHeight="false" outlineLevel="0" collapsed="false">
      <c r="A19" s="2" t="s">
        <v>14</v>
      </c>
    </row>
    <row r="20" customFormat="false" ht="17.15" hidden="false" customHeight="false" outlineLevel="0" collapsed="false">
      <c r="A20" s="2" t="s">
        <v>15</v>
      </c>
    </row>
    <row r="21" customFormat="false" ht="17.15" hidden="false" customHeight="false" outlineLevel="0" collapsed="false">
      <c r="A21" s="2" t="s">
        <v>16</v>
      </c>
    </row>
    <row r="22" customFormat="false" ht="17.15" hidden="false" customHeight="false" outlineLevel="0" collapsed="false">
      <c r="A22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55"/>
    <col collapsed="false" customWidth="true" hidden="false" outlineLevel="0" max="5" min="5" style="0" width="8"/>
    <col collapsed="false" customWidth="true" hidden="false" outlineLevel="0" max="6" min="6" style="0" width="40"/>
  </cols>
  <sheetData>
    <row r="1" customFormat="false" ht="17.15" hidden="false" customHeight="false" outlineLevel="0" collapsed="false">
      <c r="A1" s="5" t="s">
        <v>18</v>
      </c>
      <c r="B1" s="5" t="s">
        <v>19</v>
      </c>
      <c r="C1" s="5" t="s">
        <v>20</v>
      </c>
      <c r="D1" s="5" t="s">
        <v>21</v>
      </c>
      <c r="E1" s="5" t="s">
        <v>22</v>
      </c>
      <c r="F1" s="5" t="s">
        <v>23</v>
      </c>
    </row>
    <row r="2" customFormat="false" ht="29.85" hidden="false" customHeight="false" outlineLevel="0" collapsed="false">
      <c r="A2" s="6" t="s">
        <v>24</v>
      </c>
      <c r="B2" s="7" t="s">
        <v>25</v>
      </c>
      <c r="C2" s="7" t="s">
        <v>26</v>
      </c>
      <c r="D2" s="8" t="s">
        <v>27</v>
      </c>
      <c r="E2" s="9" t="n">
        <v>8</v>
      </c>
      <c r="F2" s="8" t="s">
        <v>28</v>
      </c>
    </row>
    <row r="3" customFormat="false" ht="15" hidden="false" customHeight="false" outlineLevel="0" collapsed="false">
      <c r="A3" s="6" t="s">
        <v>24</v>
      </c>
      <c r="B3" s="7" t="s">
        <v>25</v>
      </c>
      <c r="C3" s="7" t="s">
        <v>26</v>
      </c>
      <c r="D3" s="10" t="s">
        <v>29</v>
      </c>
      <c r="E3" s="9" t="n">
        <v>5</v>
      </c>
      <c r="F3" s="10"/>
    </row>
    <row r="4" customFormat="false" ht="15" hidden="false" customHeight="false" outlineLevel="0" collapsed="false">
      <c r="A4" s="6" t="s">
        <v>24</v>
      </c>
      <c r="B4" s="7" t="s">
        <v>25</v>
      </c>
      <c r="C4" s="7" t="s">
        <v>26</v>
      </c>
      <c r="D4" s="8" t="s">
        <v>30</v>
      </c>
      <c r="E4" s="9" t="n">
        <v>4</v>
      </c>
      <c r="F4" s="10"/>
    </row>
    <row r="5" customFormat="false" ht="15" hidden="false" customHeight="false" outlineLevel="0" collapsed="false">
      <c r="A5" s="6" t="s">
        <v>24</v>
      </c>
      <c r="B5" s="7" t="s">
        <v>25</v>
      </c>
      <c r="C5" s="7" t="s">
        <v>26</v>
      </c>
      <c r="D5" s="8" t="s">
        <v>31</v>
      </c>
      <c r="E5" s="9" t="n">
        <v>4</v>
      </c>
      <c r="F5" s="10"/>
    </row>
    <row r="6" customFormat="false" ht="15" hidden="false" customHeight="false" outlineLevel="0" collapsed="false">
      <c r="A6" s="6" t="s">
        <v>24</v>
      </c>
      <c r="B6" s="7" t="s">
        <v>25</v>
      </c>
      <c r="C6" s="7" t="s">
        <v>26</v>
      </c>
      <c r="D6" s="8" t="s">
        <v>32</v>
      </c>
      <c r="E6" s="9" t="n">
        <v>4</v>
      </c>
      <c r="F6" s="10"/>
    </row>
    <row r="7" customFormat="false" ht="15" hidden="false" customHeight="false" outlineLevel="0" collapsed="false">
      <c r="A7" s="6" t="s">
        <v>24</v>
      </c>
      <c r="B7" s="7" t="s">
        <v>25</v>
      </c>
      <c r="C7" s="7" t="s">
        <v>26</v>
      </c>
      <c r="D7" s="8" t="s">
        <v>33</v>
      </c>
      <c r="E7" s="9" t="n">
        <v>4</v>
      </c>
      <c r="F7" s="10"/>
    </row>
    <row r="8" customFormat="false" ht="15" hidden="false" customHeight="false" outlineLevel="0" collapsed="false">
      <c r="A8" s="6" t="s">
        <v>24</v>
      </c>
      <c r="B8" s="7" t="s">
        <v>25</v>
      </c>
      <c r="C8" s="7" t="s">
        <v>26</v>
      </c>
      <c r="D8" s="8" t="s">
        <v>34</v>
      </c>
      <c r="E8" s="9" t="n">
        <v>4</v>
      </c>
      <c r="F8" s="10"/>
    </row>
    <row r="9" customFormat="false" ht="15" hidden="false" customHeight="false" outlineLevel="0" collapsed="false">
      <c r="A9" s="6" t="s">
        <v>24</v>
      </c>
      <c r="B9" s="7" t="s">
        <v>25</v>
      </c>
      <c r="C9" s="7" t="s">
        <v>26</v>
      </c>
      <c r="D9" s="8" t="s">
        <v>35</v>
      </c>
      <c r="E9" s="9" t="n">
        <v>4</v>
      </c>
      <c r="F9" s="10"/>
    </row>
    <row r="10" customFormat="false" ht="15" hidden="false" customHeight="false" outlineLevel="0" collapsed="false">
      <c r="A10" s="6" t="s">
        <v>24</v>
      </c>
      <c r="B10" s="7" t="s">
        <v>25</v>
      </c>
      <c r="C10" s="7" t="s">
        <v>26</v>
      </c>
      <c r="D10" s="8" t="s">
        <v>36</v>
      </c>
      <c r="E10" s="9" t="n">
        <v>3</v>
      </c>
      <c r="F10" s="8" t="s">
        <v>37</v>
      </c>
    </row>
    <row r="11" customFormat="false" ht="15" hidden="false" customHeight="false" outlineLevel="0" collapsed="false">
      <c r="A11" s="11" t="s">
        <v>24</v>
      </c>
      <c r="B11" s="12" t="s">
        <v>25</v>
      </c>
      <c r="C11" s="12" t="s">
        <v>38</v>
      </c>
      <c r="D11" s="13" t="s">
        <v>39</v>
      </c>
      <c r="E11" s="14" t="n">
        <v>5</v>
      </c>
      <c r="F11" s="13"/>
    </row>
    <row r="12" customFormat="false" ht="15" hidden="false" customHeight="false" outlineLevel="0" collapsed="false">
      <c r="A12" s="11" t="s">
        <v>24</v>
      </c>
      <c r="B12" s="12" t="s">
        <v>25</v>
      </c>
      <c r="C12" s="12" t="s">
        <v>38</v>
      </c>
      <c r="D12" s="15" t="s">
        <v>40</v>
      </c>
      <c r="E12" s="14" t="n">
        <v>5</v>
      </c>
      <c r="F12" s="13"/>
    </row>
    <row r="13" customFormat="false" ht="15" hidden="false" customHeight="false" outlineLevel="0" collapsed="false">
      <c r="A13" s="11" t="s">
        <v>24</v>
      </c>
      <c r="B13" s="12" t="s">
        <v>25</v>
      </c>
      <c r="C13" s="12" t="s">
        <v>38</v>
      </c>
      <c r="D13" s="13" t="s">
        <v>41</v>
      </c>
      <c r="E13" s="14" t="n">
        <v>5</v>
      </c>
      <c r="F13" s="15" t="s">
        <v>42</v>
      </c>
    </row>
    <row r="14" customFormat="false" ht="15" hidden="false" customHeight="false" outlineLevel="0" collapsed="false">
      <c r="A14" s="11" t="s">
        <v>24</v>
      </c>
      <c r="B14" s="12" t="s">
        <v>25</v>
      </c>
      <c r="C14" s="12" t="s">
        <v>38</v>
      </c>
      <c r="D14" s="15" t="s">
        <v>43</v>
      </c>
      <c r="E14" s="14" t="n">
        <v>5</v>
      </c>
      <c r="F14" s="13"/>
    </row>
    <row r="15" customFormat="false" ht="44" hidden="false" customHeight="false" outlineLevel="0" collapsed="false">
      <c r="A15" s="16" t="s">
        <v>24</v>
      </c>
      <c r="B15" s="17" t="s">
        <v>25</v>
      </c>
      <c r="C15" s="16" t="s">
        <v>44</v>
      </c>
      <c r="D15" s="18" t="s">
        <v>45</v>
      </c>
      <c r="E15" s="19" t="n">
        <v>4</v>
      </c>
      <c r="F15" s="18" t="s">
        <v>46</v>
      </c>
    </row>
    <row r="16" customFormat="false" ht="29.85" hidden="false" customHeight="false" outlineLevel="0" collapsed="false">
      <c r="A16" s="16" t="s">
        <v>24</v>
      </c>
      <c r="B16" s="17" t="s">
        <v>25</v>
      </c>
      <c r="C16" s="16" t="s">
        <v>44</v>
      </c>
      <c r="D16" s="18" t="s">
        <v>47</v>
      </c>
      <c r="E16" s="19" t="n">
        <v>3</v>
      </c>
      <c r="F16" s="18" t="s">
        <v>48</v>
      </c>
    </row>
    <row r="17" customFormat="false" ht="44" hidden="false" customHeight="false" outlineLevel="0" collapsed="false">
      <c r="A17" s="16" t="s">
        <v>24</v>
      </c>
      <c r="B17" s="17" t="s">
        <v>25</v>
      </c>
      <c r="C17" s="16" t="s">
        <v>44</v>
      </c>
      <c r="D17" s="18" t="s">
        <v>49</v>
      </c>
      <c r="E17" s="19" t="n">
        <v>4</v>
      </c>
      <c r="F17" s="18" t="s">
        <v>50</v>
      </c>
    </row>
    <row r="18" customFormat="false" ht="44" hidden="false" customHeight="false" outlineLevel="0" collapsed="false">
      <c r="A18" s="16" t="s">
        <v>24</v>
      </c>
      <c r="B18" s="17" t="s">
        <v>25</v>
      </c>
      <c r="C18" s="16" t="s">
        <v>44</v>
      </c>
      <c r="D18" s="18" t="s">
        <v>51</v>
      </c>
      <c r="E18" s="19" t="n">
        <v>4</v>
      </c>
      <c r="F18" s="18" t="s">
        <v>52</v>
      </c>
    </row>
    <row r="19" customFormat="false" ht="29.85" hidden="false" customHeight="false" outlineLevel="0" collapsed="false">
      <c r="A19" s="16" t="s">
        <v>24</v>
      </c>
      <c r="B19" s="17" t="s">
        <v>25</v>
      </c>
      <c r="C19" s="16" t="s">
        <v>44</v>
      </c>
      <c r="D19" s="18" t="s">
        <v>53</v>
      </c>
      <c r="E19" s="19" t="n">
        <v>3</v>
      </c>
      <c r="F19" s="18" t="s">
        <v>54</v>
      </c>
    </row>
    <row r="20" customFormat="false" ht="44" hidden="false" customHeight="false" outlineLevel="0" collapsed="false">
      <c r="A20" s="16" t="s">
        <v>24</v>
      </c>
      <c r="B20" s="17" t="s">
        <v>25</v>
      </c>
      <c r="C20" s="16" t="s">
        <v>44</v>
      </c>
      <c r="D20" s="18" t="s">
        <v>55</v>
      </c>
      <c r="E20" s="19" t="n">
        <v>2</v>
      </c>
      <c r="F20" s="18" t="s">
        <v>56</v>
      </c>
    </row>
    <row r="21" customFormat="false" ht="15" hidden="false" customHeight="false" outlineLevel="0" collapsed="false">
      <c r="A21" s="20" t="s">
        <v>24</v>
      </c>
      <c r="B21" s="21" t="s">
        <v>25</v>
      </c>
      <c r="C21" s="21" t="s">
        <v>57</v>
      </c>
      <c r="D21" s="22" t="s">
        <v>58</v>
      </c>
      <c r="E21" s="23" t="n">
        <v>6</v>
      </c>
      <c r="F21" s="22"/>
    </row>
    <row r="22" customFormat="false" ht="15" hidden="false" customHeight="false" outlineLevel="0" collapsed="false">
      <c r="A22" s="20" t="s">
        <v>24</v>
      </c>
      <c r="B22" s="21" t="s">
        <v>25</v>
      </c>
      <c r="C22" s="21" t="s">
        <v>57</v>
      </c>
      <c r="D22" s="22" t="s">
        <v>59</v>
      </c>
      <c r="E22" s="23" t="n">
        <v>3</v>
      </c>
      <c r="F22" s="22"/>
    </row>
    <row r="23" customFormat="false" ht="15" hidden="false" customHeight="false" outlineLevel="0" collapsed="false">
      <c r="A23" s="20" t="s">
        <v>24</v>
      </c>
      <c r="B23" s="21" t="s">
        <v>25</v>
      </c>
      <c r="C23" s="21" t="s">
        <v>57</v>
      </c>
      <c r="D23" s="24" t="s">
        <v>60</v>
      </c>
      <c r="E23" s="23" t="n">
        <v>6</v>
      </c>
      <c r="F23" s="22"/>
    </row>
    <row r="24" customFormat="false" ht="15" hidden="false" customHeight="false" outlineLevel="0" collapsed="false">
      <c r="A24" s="20" t="s">
        <v>24</v>
      </c>
      <c r="B24" s="21" t="s">
        <v>25</v>
      </c>
      <c r="C24" s="21" t="s">
        <v>57</v>
      </c>
      <c r="D24" s="24" t="s">
        <v>61</v>
      </c>
      <c r="E24" s="23" t="n">
        <v>5</v>
      </c>
      <c r="F24" s="22"/>
    </row>
    <row r="25" customFormat="false" ht="15" hidden="false" customHeight="false" outlineLevel="0" collapsed="false">
      <c r="A25" s="6" t="s">
        <v>62</v>
      </c>
      <c r="B25" s="7" t="s">
        <v>63</v>
      </c>
      <c r="C25" s="7" t="s">
        <v>26</v>
      </c>
      <c r="D25" s="8" t="s">
        <v>64</v>
      </c>
      <c r="E25" s="9" t="n">
        <v>8</v>
      </c>
      <c r="F25" s="8" t="s">
        <v>28</v>
      </c>
    </row>
    <row r="26" customFormat="false" ht="15" hidden="false" customHeight="false" outlineLevel="0" collapsed="false">
      <c r="A26" s="6" t="s">
        <v>62</v>
      </c>
      <c r="B26" s="7" t="s">
        <v>63</v>
      </c>
      <c r="C26" s="7" t="s">
        <v>26</v>
      </c>
      <c r="D26" s="10" t="s">
        <v>29</v>
      </c>
      <c r="E26" s="9" t="n">
        <v>5</v>
      </c>
      <c r="F26" s="10"/>
    </row>
    <row r="27" customFormat="false" ht="15" hidden="false" customHeight="false" outlineLevel="0" collapsed="false">
      <c r="A27" s="6" t="s">
        <v>62</v>
      </c>
      <c r="B27" s="7" t="s">
        <v>63</v>
      </c>
      <c r="C27" s="7" t="s">
        <v>26</v>
      </c>
      <c r="D27" s="8" t="s">
        <v>30</v>
      </c>
      <c r="E27" s="9" t="n">
        <v>4</v>
      </c>
      <c r="F27" s="10"/>
    </row>
    <row r="28" customFormat="false" ht="15" hidden="false" customHeight="false" outlineLevel="0" collapsed="false">
      <c r="A28" s="6" t="s">
        <v>62</v>
      </c>
      <c r="B28" s="7" t="s">
        <v>63</v>
      </c>
      <c r="C28" s="7" t="s">
        <v>26</v>
      </c>
      <c r="D28" s="8" t="s">
        <v>31</v>
      </c>
      <c r="E28" s="9" t="n">
        <v>4</v>
      </c>
      <c r="F28" s="10"/>
    </row>
    <row r="29" customFormat="false" ht="15" hidden="false" customHeight="false" outlineLevel="0" collapsed="false">
      <c r="A29" s="6" t="s">
        <v>62</v>
      </c>
      <c r="B29" s="7" t="s">
        <v>63</v>
      </c>
      <c r="C29" s="7" t="s">
        <v>26</v>
      </c>
      <c r="D29" s="8" t="s">
        <v>32</v>
      </c>
      <c r="E29" s="9" t="n">
        <v>4</v>
      </c>
      <c r="F29" s="10"/>
    </row>
    <row r="30" customFormat="false" ht="15" hidden="false" customHeight="false" outlineLevel="0" collapsed="false">
      <c r="A30" s="6" t="s">
        <v>62</v>
      </c>
      <c r="B30" s="7" t="s">
        <v>63</v>
      </c>
      <c r="C30" s="7" t="s">
        <v>26</v>
      </c>
      <c r="D30" s="8" t="s">
        <v>33</v>
      </c>
      <c r="E30" s="9" t="n">
        <v>4</v>
      </c>
      <c r="F30" s="10"/>
    </row>
    <row r="31" customFormat="false" ht="15" hidden="false" customHeight="false" outlineLevel="0" collapsed="false">
      <c r="A31" s="6" t="s">
        <v>62</v>
      </c>
      <c r="B31" s="7" t="s">
        <v>63</v>
      </c>
      <c r="C31" s="7" t="s">
        <v>26</v>
      </c>
      <c r="D31" s="8" t="s">
        <v>34</v>
      </c>
      <c r="E31" s="9" t="n">
        <v>4</v>
      </c>
      <c r="F31" s="10"/>
    </row>
    <row r="32" customFormat="false" ht="15" hidden="false" customHeight="false" outlineLevel="0" collapsed="false">
      <c r="A32" s="6" t="s">
        <v>62</v>
      </c>
      <c r="B32" s="7" t="s">
        <v>63</v>
      </c>
      <c r="C32" s="7" t="s">
        <v>26</v>
      </c>
      <c r="D32" s="8" t="s">
        <v>65</v>
      </c>
      <c r="E32" s="9" t="n">
        <v>4</v>
      </c>
      <c r="F32" s="10"/>
    </row>
    <row r="33" customFormat="false" ht="15" hidden="false" customHeight="false" outlineLevel="0" collapsed="false">
      <c r="A33" s="6" t="s">
        <v>62</v>
      </c>
      <c r="B33" s="7" t="s">
        <v>63</v>
      </c>
      <c r="C33" s="7" t="s">
        <v>26</v>
      </c>
      <c r="D33" s="8" t="s">
        <v>36</v>
      </c>
      <c r="E33" s="9" t="n">
        <v>3</v>
      </c>
      <c r="F33" s="8" t="s">
        <v>66</v>
      </c>
    </row>
    <row r="34" customFormat="false" ht="15" hidden="false" customHeight="false" outlineLevel="0" collapsed="false">
      <c r="A34" s="11" t="s">
        <v>62</v>
      </c>
      <c r="B34" s="12" t="s">
        <v>63</v>
      </c>
      <c r="C34" s="12" t="s">
        <v>38</v>
      </c>
      <c r="D34" s="13" t="s">
        <v>39</v>
      </c>
      <c r="E34" s="14" t="n">
        <v>5</v>
      </c>
      <c r="F34" s="13"/>
    </row>
    <row r="35" customFormat="false" ht="15" hidden="false" customHeight="false" outlineLevel="0" collapsed="false">
      <c r="A35" s="11" t="s">
        <v>62</v>
      </c>
      <c r="B35" s="12" t="s">
        <v>63</v>
      </c>
      <c r="C35" s="12" t="s">
        <v>38</v>
      </c>
      <c r="D35" s="15" t="s">
        <v>40</v>
      </c>
      <c r="E35" s="14" t="n">
        <v>5</v>
      </c>
      <c r="F35" s="13"/>
    </row>
    <row r="36" customFormat="false" ht="15" hidden="false" customHeight="false" outlineLevel="0" collapsed="false">
      <c r="A36" s="11" t="s">
        <v>62</v>
      </c>
      <c r="B36" s="12" t="s">
        <v>63</v>
      </c>
      <c r="C36" s="12" t="s">
        <v>38</v>
      </c>
      <c r="D36" s="13" t="s">
        <v>67</v>
      </c>
      <c r="E36" s="14" t="n">
        <v>5</v>
      </c>
      <c r="F36" s="15" t="s">
        <v>42</v>
      </c>
    </row>
    <row r="37" customFormat="false" ht="15" hidden="false" customHeight="false" outlineLevel="0" collapsed="false">
      <c r="A37" s="11" t="s">
        <v>62</v>
      </c>
      <c r="B37" s="12" t="s">
        <v>63</v>
      </c>
      <c r="C37" s="12" t="s">
        <v>38</v>
      </c>
      <c r="D37" s="15" t="s">
        <v>43</v>
      </c>
      <c r="E37" s="14" t="n">
        <v>5</v>
      </c>
      <c r="F37" s="13"/>
    </row>
    <row r="38" customFormat="false" ht="44" hidden="false" customHeight="false" outlineLevel="0" collapsed="false">
      <c r="A38" s="16" t="s">
        <v>62</v>
      </c>
      <c r="B38" s="17" t="s">
        <v>63</v>
      </c>
      <c r="C38" s="16" t="s">
        <v>44</v>
      </c>
      <c r="D38" s="18" t="s">
        <v>45</v>
      </c>
      <c r="E38" s="19" t="n">
        <v>4</v>
      </c>
      <c r="F38" s="18" t="s">
        <v>46</v>
      </c>
    </row>
    <row r="39" customFormat="false" ht="29.85" hidden="false" customHeight="false" outlineLevel="0" collapsed="false">
      <c r="A39" s="16" t="s">
        <v>62</v>
      </c>
      <c r="B39" s="17" t="s">
        <v>63</v>
      </c>
      <c r="C39" s="16" t="s">
        <v>44</v>
      </c>
      <c r="D39" s="18" t="s">
        <v>47</v>
      </c>
      <c r="E39" s="19" t="n">
        <v>3</v>
      </c>
      <c r="F39" s="18" t="s">
        <v>48</v>
      </c>
    </row>
    <row r="40" customFormat="false" ht="44" hidden="false" customHeight="false" outlineLevel="0" collapsed="false">
      <c r="A40" s="16" t="s">
        <v>62</v>
      </c>
      <c r="B40" s="17" t="s">
        <v>63</v>
      </c>
      <c r="C40" s="16" t="s">
        <v>44</v>
      </c>
      <c r="D40" s="18" t="s">
        <v>49</v>
      </c>
      <c r="E40" s="19" t="n">
        <v>4</v>
      </c>
      <c r="F40" s="18" t="s">
        <v>68</v>
      </c>
    </row>
    <row r="41" customFormat="false" ht="114.9" hidden="false" customHeight="false" outlineLevel="0" collapsed="false">
      <c r="A41" s="16" t="s">
        <v>62</v>
      </c>
      <c r="B41" s="17" t="s">
        <v>63</v>
      </c>
      <c r="C41" s="16" t="s">
        <v>44</v>
      </c>
      <c r="D41" s="18" t="s">
        <v>51</v>
      </c>
      <c r="E41" s="19" t="n">
        <v>4</v>
      </c>
      <c r="F41" s="18" t="s">
        <v>69</v>
      </c>
    </row>
    <row r="42" customFormat="false" ht="29.85" hidden="false" customHeight="false" outlineLevel="0" collapsed="false">
      <c r="A42" s="16" t="s">
        <v>62</v>
      </c>
      <c r="B42" s="17" t="s">
        <v>63</v>
      </c>
      <c r="C42" s="16" t="s">
        <v>44</v>
      </c>
      <c r="D42" s="18" t="s">
        <v>53</v>
      </c>
      <c r="E42" s="19" t="n">
        <v>3</v>
      </c>
      <c r="F42" s="18" t="s">
        <v>54</v>
      </c>
    </row>
    <row r="43" customFormat="false" ht="44" hidden="false" customHeight="false" outlineLevel="0" collapsed="false">
      <c r="A43" s="16" t="s">
        <v>62</v>
      </c>
      <c r="B43" s="17" t="s">
        <v>63</v>
      </c>
      <c r="C43" s="16" t="s">
        <v>44</v>
      </c>
      <c r="D43" s="18" t="s">
        <v>55</v>
      </c>
      <c r="E43" s="19" t="n">
        <v>2</v>
      </c>
      <c r="F43" s="18" t="s">
        <v>56</v>
      </c>
    </row>
    <row r="44" customFormat="false" ht="15" hidden="false" customHeight="false" outlineLevel="0" collapsed="false">
      <c r="A44" s="20" t="s">
        <v>62</v>
      </c>
      <c r="B44" s="21" t="s">
        <v>63</v>
      </c>
      <c r="C44" s="21" t="s">
        <v>57</v>
      </c>
      <c r="D44" s="22" t="s">
        <v>70</v>
      </c>
      <c r="E44" s="23" t="n">
        <v>6</v>
      </c>
      <c r="F44" s="22"/>
    </row>
    <row r="45" customFormat="false" ht="15" hidden="false" customHeight="false" outlineLevel="0" collapsed="false">
      <c r="A45" s="20" t="s">
        <v>62</v>
      </c>
      <c r="B45" s="21" t="s">
        <v>63</v>
      </c>
      <c r="C45" s="21" t="s">
        <v>57</v>
      </c>
      <c r="D45" s="22" t="s">
        <v>71</v>
      </c>
      <c r="E45" s="23" t="n">
        <v>3</v>
      </c>
      <c r="F45" s="22"/>
    </row>
    <row r="46" customFormat="false" ht="15" hidden="false" customHeight="false" outlineLevel="0" collapsed="false">
      <c r="A46" s="20" t="s">
        <v>62</v>
      </c>
      <c r="B46" s="21" t="s">
        <v>63</v>
      </c>
      <c r="C46" s="21" t="s">
        <v>57</v>
      </c>
      <c r="D46" s="24" t="s">
        <v>72</v>
      </c>
      <c r="E46" s="23" t="n">
        <v>6</v>
      </c>
      <c r="F46" s="22"/>
    </row>
    <row r="47" customFormat="false" ht="15" hidden="false" customHeight="false" outlineLevel="0" collapsed="false">
      <c r="A47" s="20" t="s">
        <v>62</v>
      </c>
      <c r="B47" s="21" t="s">
        <v>63</v>
      </c>
      <c r="C47" s="21" t="s">
        <v>57</v>
      </c>
      <c r="D47" s="24" t="s">
        <v>73</v>
      </c>
      <c r="E47" s="23" t="n">
        <v>5</v>
      </c>
      <c r="F47" s="22"/>
    </row>
    <row r="48" customFormat="false" ht="15" hidden="false" customHeight="false" outlineLevel="0" collapsed="false">
      <c r="A48" s="6" t="s">
        <v>74</v>
      </c>
      <c r="B48" s="7" t="s">
        <v>75</v>
      </c>
      <c r="C48" s="7" t="s">
        <v>26</v>
      </c>
      <c r="D48" s="8" t="s">
        <v>76</v>
      </c>
      <c r="E48" s="9" t="n">
        <v>8</v>
      </c>
      <c r="F48" s="8" t="s">
        <v>28</v>
      </c>
    </row>
    <row r="49" customFormat="false" ht="15" hidden="false" customHeight="false" outlineLevel="0" collapsed="false">
      <c r="A49" s="6" t="s">
        <v>74</v>
      </c>
      <c r="B49" s="7" t="s">
        <v>75</v>
      </c>
      <c r="C49" s="7" t="s">
        <v>26</v>
      </c>
      <c r="D49" s="10" t="s">
        <v>29</v>
      </c>
      <c r="E49" s="9" t="n">
        <v>5</v>
      </c>
      <c r="F49" s="10"/>
    </row>
    <row r="50" customFormat="false" ht="15" hidden="false" customHeight="false" outlineLevel="0" collapsed="false">
      <c r="A50" s="6" t="s">
        <v>74</v>
      </c>
      <c r="B50" s="7" t="s">
        <v>75</v>
      </c>
      <c r="C50" s="7" t="s">
        <v>26</v>
      </c>
      <c r="D50" s="8" t="s">
        <v>30</v>
      </c>
      <c r="E50" s="9" t="n">
        <v>4</v>
      </c>
      <c r="F50" s="10"/>
    </row>
    <row r="51" customFormat="false" ht="15" hidden="false" customHeight="false" outlineLevel="0" collapsed="false">
      <c r="A51" s="6" t="s">
        <v>74</v>
      </c>
      <c r="B51" s="7" t="s">
        <v>75</v>
      </c>
      <c r="C51" s="7" t="s">
        <v>26</v>
      </c>
      <c r="D51" s="8" t="s">
        <v>31</v>
      </c>
      <c r="E51" s="9" t="n">
        <v>4</v>
      </c>
      <c r="F51" s="10"/>
    </row>
    <row r="52" customFormat="false" ht="15" hidden="false" customHeight="false" outlineLevel="0" collapsed="false">
      <c r="A52" s="6" t="s">
        <v>74</v>
      </c>
      <c r="B52" s="7" t="s">
        <v>75</v>
      </c>
      <c r="C52" s="7" t="s">
        <v>26</v>
      </c>
      <c r="D52" s="8" t="s">
        <v>32</v>
      </c>
      <c r="E52" s="9" t="n">
        <v>4</v>
      </c>
      <c r="F52" s="10"/>
    </row>
    <row r="53" customFormat="false" ht="15" hidden="false" customHeight="false" outlineLevel="0" collapsed="false">
      <c r="A53" s="6" t="s">
        <v>74</v>
      </c>
      <c r="B53" s="7" t="s">
        <v>75</v>
      </c>
      <c r="C53" s="7" t="s">
        <v>26</v>
      </c>
      <c r="D53" s="8" t="s">
        <v>33</v>
      </c>
      <c r="E53" s="9" t="n">
        <v>4</v>
      </c>
      <c r="F53" s="10"/>
    </row>
    <row r="54" customFormat="false" ht="15" hidden="false" customHeight="false" outlineLevel="0" collapsed="false">
      <c r="A54" s="6" t="s">
        <v>74</v>
      </c>
      <c r="B54" s="7" t="s">
        <v>75</v>
      </c>
      <c r="C54" s="7" t="s">
        <v>26</v>
      </c>
      <c r="D54" s="8" t="s">
        <v>34</v>
      </c>
      <c r="E54" s="9" t="n">
        <v>4</v>
      </c>
      <c r="F54" s="10"/>
    </row>
    <row r="55" customFormat="false" ht="15" hidden="false" customHeight="false" outlineLevel="0" collapsed="false">
      <c r="A55" s="6" t="s">
        <v>74</v>
      </c>
      <c r="B55" s="7" t="s">
        <v>75</v>
      </c>
      <c r="C55" s="7" t="s">
        <v>26</v>
      </c>
      <c r="D55" s="8" t="s">
        <v>65</v>
      </c>
      <c r="E55" s="9" t="n">
        <v>4</v>
      </c>
      <c r="F55" s="10"/>
    </row>
    <row r="56" customFormat="false" ht="15" hidden="false" customHeight="false" outlineLevel="0" collapsed="false">
      <c r="A56" s="6" t="s">
        <v>74</v>
      </c>
      <c r="B56" s="7" t="s">
        <v>75</v>
      </c>
      <c r="C56" s="7" t="s">
        <v>26</v>
      </c>
      <c r="D56" s="8" t="s">
        <v>36</v>
      </c>
      <c r="E56" s="9" t="n">
        <v>3</v>
      </c>
      <c r="F56" s="8" t="s">
        <v>77</v>
      </c>
    </row>
    <row r="57" customFormat="false" ht="15" hidden="false" customHeight="false" outlineLevel="0" collapsed="false">
      <c r="A57" s="11" t="s">
        <v>74</v>
      </c>
      <c r="B57" s="12" t="s">
        <v>75</v>
      </c>
      <c r="C57" s="12" t="s">
        <v>38</v>
      </c>
      <c r="D57" s="13" t="s">
        <v>39</v>
      </c>
      <c r="E57" s="14" t="n">
        <v>5</v>
      </c>
      <c r="F57" s="13"/>
    </row>
    <row r="58" customFormat="false" ht="15" hidden="false" customHeight="false" outlineLevel="0" collapsed="false">
      <c r="A58" s="11" t="s">
        <v>74</v>
      </c>
      <c r="B58" s="12" t="s">
        <v>75</v>
      </c>
      <c r="C58" s="12" t="s">
        <v>38</v>
      </c>
      <c r="D58" s="15" t="s">
        <v>40</v>
      </c>
      <c r="E58" s="14" t="n">
        <v>5</v>
      </c>
      <c r="F58" s="13"/>
    </row>
    <row r="59" customFormat="false" ht="15" hidden="false" customHeight="false" outlineLevel="0" collapsed="false">
      <c r="A59" s="11" t="s">
        <v>74</v>
      </c>
      <c r="B59" s="12" t="s">
        <v>75</v>
      </c>
      <c r="C59" s="12" t="s">
        <v>38</v>
      </c>
      <c r="D59" s="13" t="s">
        <v>78</v>
      </c>
      <c r="E59" s="14" t="n">
        <v>5</v>
      </c>
      <c r="F59" s="15" t="s">
        <v>42</v>
      </c>
    </row>
    <row r="60" customFormat="false" ht="15" hidden="false" customHeight="false" outlineLevel="0" collapsed="false">
      <c r="A60" s="11" t="s">
        <v>74</v>
      </c>
      <c r="B60" s="12" t="s">
        <v>75</v>
      </c>
      <c r="C60" s="12" t="s">
        <v>38</v>
      </c>
      <c r="D60" s="15" t="s">
        <v>43</v>
      </c>
      <c r="E60" s="14" t="n">
        <v>5</v>
      </c>
      <c r="F60" s="13"/>
    </row>
    <row r="61" customFormat="false" ht="44" hidden="false" customHeight="false" outlineLevel="0" collapsed="false">
      <c r="A61" s="16" t="s">
        <v>74</v>
      </c>
      <c r="B61" s="17" t="s">
        <v>75</v>
      </c>
      <c r="C61" s="16" t="s">
        <v>44</v>
      </c>
      <c r="D61" s="18" t="s">
        <v>45</v>
      </c>
      <c r="E61" s="19" t="n">
        <v>4</v>
      </c>
      <c r="F61" s="18" t="s">
        <v>46</v>
      </c>
    </row>
    <row r="62" customFormat="false" ht="29.85" hidden="false" customHeight="false" outlineLevel="0" collapsed="false">
      <c r="A62" s="16" t="s">
        <v>74</v>
      </c>
      <c r="B62" s="17" t="s">
        <v>75</v>
      </c>
      <c r="C62" s="16" t="s">
        <v>44</v>
      </c>
      <c r="D62" s="18" t="s">
        <v>47</v>
      </c>
      <c r="E62" s="19" t="n">
        <v>3</v>
      </c>
      <c r="F62" s="18" t="s">
        <v>48</v>
      </c>
    </row>
    <row r="63" customFormat="false" ht="44" hidden="false" customHeight="false" outlineLevel="0" collapsed="false">
      <c r="A63" s="16" t="s">
        <v>74</v>
      </c>
      <c r="B63" s="17" t="s">
        <v>75</v>
      </c>
      <c r="C63" s="16" t="s">
        <v>44</v>
      </c>
      <c r="D63" s="18" t="s">
        <v>49</v>
      </c>
      <c r="E63" s="19" t="n">
        <v>4</v>
      </c>
      <c r="F63" s="18" t="s">
        <v>79</v>
      </c>
    </row>
    <row r="64" customFormat="false" ht="44" hidden="false" customHeight="false" outlineLevel="0" collapsed="false">
      <c r="A64" s="16" t="s">
        <v>74</v>
      </c>
      <c r="B64" s="17" t="s">
        <v>75</v>
      </c>
      <c r="C64" s="16" t="s">
        <v>44</v>
      </c>
      <c r="D64" s="18" t="s">
        <v>51</v>
      </c>
      <c r="E64" s="19" t="n">
        <v>4</v>
      </c>
      <c r="F64" s="18" t="s">
        <v>80</v>
      </c>
    </row>
    <row r="65" customFormat="false" ht="29.85" hidden="false" customHeight="false" outlineLevel="0" collapsed="false">
      <c r="A65" s="16" t="s">
        <v>74</v>
      </c>
      <c r="B65" s="17" t="s">
        <v>75</v>
      </c>
      <c r="C65" s="16" t="s">
        <v>44</v>
      </c>
      <c r="D65" s="18" t="s">
        <v>53</v>
      </c>
      <c r="E65" s="19" t="n">
        <v>3</v>
      </c>
      <c r="F65" s="18" t="s">
        <v>54</v>
      </c>
    </row>
    <row r="66" customFormat="false" ht="44" hidden="false" customHeight="false" outlineLevel="0" collapsed="false">
      <c r="A66" s="16" t="s">
        <v>74</v>
      </c>
      <c r="B66" s="17" t="s">
        <v>75</v>
      </c>
      <c r="C66" s="16" t="s">
        <v>44</v>
      </c>
      <c r="D66" s="18" t="s">
        <v>55</v>
      </c>
      <c r="E66" s="19" t="n">
        <v>2</v>
      </c>
      <c r="F66" s="18" t="s">
        <v>56</v>
      </c>
    </row>
    <row r="67" customFormat="false" ht="15" hidden="false" customHeight="false" outlineLevel="0" collapsed="false">
      <c r="A67" s="20" t="s">
        <v>74</v>
      </c>
      <c r="B67" s="21" t="s">
        <v>75</v>
      </c>
      <c r="C67" s="21" t="s">
        <v>57</v>
      </c>
      <c r="D67" s="22" t="s">
        <v>81</v>
      </c>
      <c r="E67" s="23" t="n">
        <v>6</v>
      </c>
      <c r="F67" s="22"/>
    </row>
    <row r="68" customFormat="false" ht="15" hidden="false" customHeight="false" outlineLevel="0" collapsed="false">
      <c r="A68" s="20" t="s">
        <v>74</v>
      </c>
      <c r="B68" s="21" t="s">
        <v>75</v>
      </c>
      <c r="C68" s="21" t="s">
        <v>57</v>
      </c>
      <c r="D68" s="22" t="s">
        <v>82</v>
      </c>
      <c r="E68" s="23" t="n">
        <v>3</v>
      </c>
      <c r="F68" s="22"/>
    </row>
    <row r="69" customFormat="false" ht="15" hidden="false" customHeight="false" outlineLevel="0" collapsed="false">
      <c r="A69" s="20" t="s">
        <v>74</v>
      </c>
      <c r="B69" s="21" t="s">
        <v>75</v>
      </c>
      <c r="C69" s="21" t="s">
        <v>57</v>
      </c>
      <c r="D69" s="24" t="s">
        <v>83</v>
      </c>
      <c r="E69" s="23" t="n">
        <v>6</v>
      </c>
      <c r="F69" s="22"/>
    </row>
    <row r="70" customFormat="false" ht="15" hidden="false" customHeight="false" outlineLevel="0" collapsed="false">
      <c r="A70" s="20" t="s">
        <v>74</v>
      </c>
      <c r="B70" s="21" t="s">
        <v>75</v>
      </c>
      <c r="C70" s="21" t="s">
        <v>57</v>
      </c>
      <c r="D70" s="24" t="s">
        <v>84</v>
      </c>
      <c r="E70" s="23" t="n">
        <v>5</v>
      </c>
      <c r="F70" s="22"/>
    </row>
    <row r="71" customFormat="false" ht="15" hidden="false" customHeight="false" outlineLevel="0" collapsed="false">
      <c r="A71" s="6" t="s">
        <v>85</v>
      </c>
      <c r="B71" s="7" t="s">
        <v>86</v>
      </c>
      <c r="C71" s="7" t="s">
        <v>26</v>
      </c>
      <c r="D71" s="8" t="s">
        <v>87</v>
      </c>
      <c r="E71" s="9" t="n">
        <v>8</v>
      </c>
      <c r="F71" s="8" t="s">
        <v>28</v>
      </c>
    </row>
    <row r="72" customFormat="false" ht="15" hidden="false" customHeight="false" outlineLevel="0" collapsed="false">
      <c r="A72" s="6" t="s">
        <v>85</v>
      </c>
      <c r="B72" s="7" t="s">
        <v>86</v>
      </c>
      <c r="C72" s="7" t="s">
        <v>26</v>
      </c>
      <c r="D72" s="10" t="s">
        <v>29</v>
      </c>
      <c r="E72" s="9" t="n">
        <v>5</v>
      </c>
      <c r="F72" s="10"/>
    </row>
    <row r="73" customFormat="false" ht="15" hidden="false" customHeight="false" outlineLevel="0" collapsed="false">
      <c r="A73" s="6" t="s">
        <v>85</v>
      </c>
      <c r="B73" s="7" t="s">
        <v>86</v>
      </c>
      <c r="C73" s="7" t="s">
        <v>26</v>
      </c>
      <c r="D73" s="8" t="s">
        <v>30</v>
      </c>
      <c r="E73" s="9" t="n">
        <v>4</v>
      </c>
      <c r="F73" s="10"/>
    </row>
    <row r="74" customFormat="false" ht="15" hidden="false" customHeight="false" outlineLevel="0" collapsed="false">
      <c r="A74" s="6" t="s">
        <v>85</v>
      </c>
      <c r="B74" s="7" t="s">
        <v>86</v>
      </c>
      <c r="C74" s="7" t="s">
        <v>26</v>
      </c>
      <c r="D74" s="8" t="s">
        <v>31</v>
      </c>
      <c r="E74" s="9" t="n">
        <v>4</v>
      </c>
      <c r="F74" s="10"/>
    </row>
    <row r="75" customFormat="false" ht="15" hidden="false" customHeight="false" outlineLevel="0" collapsed="false">
      <c r="A75" s="6" t="s">
        <v>85</v>
      </c>
      <c r="B75" s="7" t="s">
        <v>86</v>
      </c>
      <c r="C75" s="7" t="s">
        <v>26</v>
      </c>
      <c r="D75" s="8" t="s">
        <v>32</v>
      </c>
      <c r="E75" s="9" t="n">
        <v>4</v>
      </c>
      <c r="F75" s="10"/>
    </row>
    <row r="76" customFormat="false" ht="15" hidden="false" customHeight="false" outlineLevel="0" collapsed="false">
      <c r="A76" s="6" t="s">
        <v>85</v>
      </c>
      <c r="B76" s="7" t="s">
        <v>86</v>
      </c>
      <c r="C76" s="7" t="s">
        <v>26</v>
      </c>
      <c r="D76" s="8" t="s">
        <v>33</v>
      </c>
      <c r="E76" s="9" t="n">
        <v>4</v>
      </c>
      <c r="F76" s="10"/>
    </row>
    <row r="77" customFormat="false" ht="15" hidden="false" customHeight="false" outlineLevel="0" collapsed="false">
      <c r="A77" s="6" t="s">
        <v>85</v>
      </c>
      <c r="B77" s="7" t="s">
        <v>86</v>
      </c>
      <c r="C77" s="7" t="s">
        <v>26</v>
      </c>
      <c r="D77" s="8" t="s">
        <v>34</v>
      </c>
      <c r="E77" s="9" t="n">
        <v>4</v>
      </c>
      <c r="F77" s="10"/>
    </row>
    <row r="78" customFormat="false" ht="15" hidden="false" customHeight="false" outlineLevel="0" collapsed="false">
      <c r="A78" s="6" t="s">
        <v>85</v>
      </c>
      <c r="B78" s="7" t="s">
        <v>86</v>
      </c>
      <c r="C78" s="7" t="s">
        <v>26</v>
      </c>
      <c r="D78" s="8" t="s">
        <v>65</v>
      </c>
      <c r="E78" s="9" t="n">
        <v>4</v>
      </c>
      <c r="F78" s="10"/>
    </row>
    <row r="79" customFormat="false" ht="15" hidden="false" customHeight="false" outlineLevel="0" collapsed="false">
      <c r="A79" s="6" t="s">
        <v>85</v>
      </c>
      <c r="B79" s="7" t="s">
        <v>86</v>
      </c>
      <c r="C79" s="7" t="s">
        <v>26</v>
      </c>
      <c r="D79" s="8" t="s">
        <v>36</v>
      </c>
      <c r="E79" s="9" t="n">
        <v>3</v>
      </c>
      <c r="F79" s="8" t="s">
        <v>37</v>
      </c>
    </row>
    <row r="80" customFormat="false" ht="15" hidden="false" customHeight="false" outlineLevel="0" collapsed="false">
      <c r="A80" s="11" t="s">
        <v>85</v>
      </c>
      <c r="B80" s="12" t="s">
        <v>86</v>
      </c>
      <c r="C80" s="12" t="s">
        <v>38</v>
      </c>
      <c r="D80" s="13" t="s">
        <v>39</v>
      </c>
      <c r="E80" s="14" t="n">
        <v>5</v>
      </c>
      <c r="F80" s="13"/>
    </row>
    <row r="81" customFormat="false" ht="15" hidden="false" customHeight="false" outlineLevel="0" collapsed="false">
      <c r="A81" s="11" t="s">
        <v>85</v>
      </c>
      <c r="B81" s="12" t="s">
        <v>86</v>
      </c>
      <c r="C81" s="12" t="s">
        <v>38</v>
      </c>
      <c r="D81" s="15" t="s">
        <v>40</v>
      </c>
      <c r="E81" s="14" t="n">
        <v>5</v>
      </c>
      <c r="F81" s="13"/>
    </row>
    <row r="82" customFormat="false" ht="15" hidden="false" customHeight="false" outlineLevel="0" collapsed="false">
      <c r="A82" s="11" t="s">
        <v>85</v>
      </c>
      <c r="B82" s="12" t="s">
        <v>86</v>
      </c>
      <c r="C82" s="12" t="s">
        <v>38</v>
      </c>
      <c r="D82" s="13" t="s">
        <v>88</v>
      </c>
      <c r="E82" s="14" t="n">
        <v>5</v>
      </c>
      <c r="F82" s="15" t="s">
        <v>42</v>
      </c>
    </row>
    <row r="83" customFormat="false" ht="15" hidden="false" customHeight="false" outlineLevel="0" collapsed="false">
      <c r="A83" s="11" t="s">
        <v>85</v>
      </c>
      <c r="B83" s="12" t="s">
        <v>86</v>
      </c>
      <c r="C83" s="12" t="s">
        <v>38</v>
      </c>
      <c r="D83" s="15" t="s">
        <v>43</v>
      </c>
      <c r="E83" s="14" t="n">
        <v>5</v>
      </c>
      <c r="F83" s="13"/>
    </row>
    <row r="84" customFormat="false" ht="44" hidden="false" customHeight="false" outlineLevel="0" collapsed="false">
      <c r="A84" s="16" t="s">
        <v>85</v>
      </c>
      <c r="B84" s="17" t="s">
        <v>86</v>
      </c>
      <c r="C84" s="16" t="s">
        <v>44</v>
      </c>
      <c r="D84" s="18" t="s">
        <v>45</v>
      </c>
      <c r="E84" s="19" t="n">
        <v>4</v>
      </c>
      <c r="F84" s="18" t="s">
        <v>46</v>
      </c>
    </row>
    <row r="85" customFormat="false" ht="29.85" hidden="false" customHeight="false" outlineLevel="0" collapsed="false">
      <c r="A85" s="16" t="s">
        <v>85</v>
      </c>
      <c r="B85" s="17" t="s">
        <v>86</v>
      </c>
      <c r="C85" s="16" t="s">
        <v>44</v>
      </c>
      <c r="D85" s="18" t="s">
        <v>47</v>
      </c>
      <c r="E85" s="19" t="n">
        <v>3</v>
      </c>
      <c r="F85" s="18" t="s">
        <v>48</v>
      </c>
    </row>
    <row r="86" customFormat="false" ht="44" hidden="false" customHeight="false" outlineLevel="0" collapsed="false">
      <c r="A86" s="16" t="s">
        <v>85</v>
      </c>
      <c r="B86" s="17" t="s">
        <v>86</v>
      </c>
      <c r="C86" s="16" t="s">
        <v>44</v>
      </c>
      <c r="D86" s="18" t="s">
        <v>49</v>
      </c>
      <c r="E86" s="19" t="n">
        <v>4</v>
      </c>
      <c r="F86" s="18" t="s">
        <v>50</v>
      </c>
    </row>
    <row r="87" customFormat="false" ht="44" hidden="false" customHeight="false" outlineLevel="0" collapsed="false">
      <c r="A87" s="16" t="s">
        <v>85</v>
      </c>
      <c r="B87" s="17" t="s">
        <v>86</v>
      </c>
      <c r="C87" s="16" t="s">
        <v>44</v>
      </c>
      <c r="D87" s="18" t="s">
        <v>51</v>
      </c>
      <c r="E87" s="19" t="n">
        <v>4</v>
      </c>
      <c r="F87" s="18" t="s">
        <v>80</v>
      </c>
    </row>
    <row r="88" customFormat="false" ht="29.85" hidden="false" customHeight="false" outlineLevel="0" collapsed="false">
      <c r="A88" s="16" t="s">
        <v>85</v>
      </c>
      <c r="B88" s="17" t="s">
        <v>86</v>
      </c>
      <c r="C88" s="16" t="s">
        <v>44</v>
      </c>
      <c r="D88" s="18" t="s">
        <v>53</v>
      </c>
      <c r="E88" s="19" t="n">
        <v>3</v>
      </c>
      <c r="F88" s="18" t="s">
        <v>54</v>
      </c>
    </row>
    <row r="89" customFormat="false" ht="44" hidden="false" customHeight="false" outlineLevel="0" collapsed="false">
      <c r="A89" s="16" t="s">
        <v>85</v>
      </c>
      <c r="B89" s="17" t="s">
        <v>86</v>
      </c>
      <c r="C89" s="16" t="s">
        <v>44</v>
      </c>
      <c r="D89" s="18" t="s">
        <v>55</v>
      </c>
      <c r="E89" s="19" t="n">
        <v>2</v>
      </c>
      <c r="F89" s="18" t="s">
        <v>56</v>
      </c>
    </row>
    <row r="90" customFormat="false" ht="15" hidden="false" customHeight="false" outlineLevel="0" collapsed="false">
      <c r="A90" s="20" t="s">
        <v>85</v>
      </c>
      <c r="B90" s="21" t="s">
        <v>86</v>
      </c>
      <c r="C90" s="21" t="s">
        <v>57</v>
      </c>
      <c r="D90" s="22" t="s">
        <v>89</v>
      </c>
      <c r="E90" s="23" t="n">
        <v>6</v>
      </c>
      <c r="F90" s="22"/>
    </row>
    <row r="91" customFormat="false" ht="15" hidden="false" customHeight="false" outlineLevel="0" collapsed="false">
      <c r="A91" s="20" t="s">
        <v>85</v>
      </c>
      <c r="B91" s="21" t="s">
        <v>86</v>
      </c>
      <c r="C91" s="21" t="s">
        <v>57</v>
      </c>
      <c r="D91" s="22" t="s">
        <v>90</v>
      </c>
      <c r="E91" s="23" t="n">
        <v>3</v>
      </c>
      <c r="F91" s="22"/>
    </row>
    <row r="92" customFormat="false" ht="15" hidden="false" customHeight="false" outlineLevel="0" collapsed="false">
      <c r="A92" s="20" t="s">
        <v>85</v>
      </c>
      <c r="B92" s="21" t="s">
        <v>86</v>
      </c>
      <c r="C92" s="21" t="s">
        <v>57</v>
      </c>
      <c r="D92" s="24" t="s">
        <v>91</v>
      </c>
      <c r="E92" s="23" t="n">
        <v>6</v>
      </c>
      <c r="F92" s="22"/>
    </row>
    <row r="93" customFormat="false" ht="29.85" hidden="false" customHeight="false" outlineLevel="0" collapsed="false">
      <c r="A93" s="20" t="s">
        <v>85</v>
      </c>
      <c r="B93" s="21" t="s">
        <v>86</v>
      </c>
      <c r="C93" s="21" t="s">
        <v>57</v>
      </c>
      <c r="D93" s="24" t="s">
        <v>92</v>
      </c>
      <c r="E93" s="23" t="n">
        <v>5</v>
      </c>
      <c r="F93" s="22"/>
    </row>
    <row r="94" customFormat="false" ht="15" hidden="false" customHeight="false" outlineLevel="0" collapsed="false">
      <c r="A94" s="6" t="s">
        <v>93</v>
      </c>
      <c r="B94" s="7" t="s">
        <v>94</v>
      </c>
      <c r="C94" s="7" t="s">
        <v>26</v>
      </c>
      <c r="D94" s="8" t="s">
        <v>95</v>
      </c>
      <c r="E94" s="9" t="n">
        <v>8</v>
      </c>
      <c r="F94" s="8" t="s">
        <v>28</v>
      </c>
    </row>
    <row r="95" customFormat="false" ht="15" hidden="false" customHeight="false" outlineLevel="0" collapsed="false">
      <c r="A95" s="6" t="s">
        <v>93</v>
      </c>
      <c r="B95" s="7" t="s">
        <v>94</v>
      </c>
      <c r="C95" s="7" t="s">
        <v>26</v>
      </c>
      <c r="D95" s="10" t="s">
        <v>29</v>
      </c>
      <c r="E95" s="9" t="n">
        <v>5</v>
      </c>
      <c r="F95" s="10"/>
    </row>
    <row r="96" customFormat="false" ht="15" hidden="false" customHeight="false" outlineLevel="0" collapsed="false">
      <c r="A96" s="6" t="s">
        <v>93</v>
      </c>
      <c r="B96" s="7" t="s">
        <v>94</v>
      </c>
      <c r="C96" s="7" t="s">
        <v>26</v>
      </c>
      <c r="D96" s="8" t="s">
        <v>30</v>
      </c>
      <c r="E96" s="9" t="n">
        <v>4</v>
      </c>
      <c r="F96" s="10"/>
    </row>
    <row r="97" customFormat="false" ht="15" hidden="false" customHeight="false" outlineLevel="0" collapsed="false">
      <c r="A97" s="6" t="s">
        <v>93</v>
      </c>
      <c r="B97" s="7" t="s">
        <v>94</v>
      </c>
      <c r="C97" s="7" t="s">
        <v>26</v>
      </c>
      <c r="D97" s="8" t="s">
        <v>31</v>
      </c>
      <c r="E97" s="9" t="n">
        <v>4</v>
      </c>
      <c r="F97" s="10"/>
    </row>
    <row r="98" customFormat="false" ht="15" hidden="false" customHeight="false" outlineLevel="0" collapsed="false">
      <c r="A98" s="6" t="s">
        <v>93</v>
      </c>
      <c r="B98" s="7" t="s">
        <v>94</v>
      </c>
      <c r="C98" s="7" t="s">
        <v>26</v>
      </c>
      <c r="D98" s="8" t="s">
        <v>32</v>
      </c>
      <c r="E98" s="9" t="n">
        <v>4</v>
      </c>
      <c r="F98" s="10"/>
    </row>
    <row r="99" customFormat="false" ht="15" hidden="false" customHeight="false" outlineLevel="0" collapsed="false">
      <c r="A99" s="6" t="s">
        <v>93</v>
      </c>
      <c r="B99" s="7" t="s">
        <v>94</v>
      </c>
      <c r="C99" s="7" t="s">
        <v>26</v>
      </c>
      <c r="D99" s="8" t="s">
        <v>33</v>
      </c>
      <c r="E99" s="9" t="n">
        <v>4</v>
      </c>
      <c r="F99" s="10"/>
    </row>
    <row r="100" customFormat="false" ht="15" hidden="false" customHeight="false" outlineLevel="0" collapsed="false">
      <c r="A100" s="6" t="s">
        <v>93</v>
      </c>
      <c r="B100" s="7" t="s">
        <v>94</v>
      </c>
      <c r="C100" s="7" t="s">
        <v>26</v>
      </c>
      <c r="D100" s="8" t="s">
        <v>34</v>
      </c>
      <c r="E100" s="9" t="n">
        <v>4</v>
      </c>
      <c r="F100" s="10"/>
    </row>
    <row r="101" customFormat="false" ht="15" hidden="false" customHeight="false" outlineLevel="0" collapsed="false">
      <c r="A101" s="6" t="s">
        <v>93</v>
      </c>
      <c r="B101" s="7" t="s">
        <v>94</v>
      </c>
      <c r="C101" s="7" t="s">
        <v>26</v>
      </c>
      <c r="D101" s="8" t="s">
        <v>35</v>
      </c>
      <c r="E101" s="9" t="n">
        <v>4</v>
      </c>
      <c r="F101" s="10"/>
    </row>
    <row r="102" customFormat="false" ht="15" hidden="false" customHeight="false" outlineLevel="0" collapsed="false">
      <c r="A102" s="6" t="s">
        <v>93</v>
      </c>
      <c r="B102" s="7" t="s">
        <v>94</v>
      </c>
      <c r="C102" s="7" t="s">
        <v>26</v>
      </c>
      <c r="D102" s="8" t="s">
        <v>36</v>
      </c>
      <c r="E102" s="9" t="n">
        <v>3</v>
      </c>
      <c r="F102" s="8" t="s">
        <v>37</v>
      </c>
    </row>
    <row r="103" customFormat="false" ht="15" hidden="false" customHeight="false" outlineLevel="0" collapsed="false">
      <c r="A103" s="11" t="s">
        <v>93</v>
      </c>
      <c r="B103" s="12" t="s">
        <v>94</v>
      </c>
      <c r="C103" s="12" t="s">
        <v>38</v>
      </c>
      <c r="D103" s="13" t="s">
        <v>39</v>
      </c>
      <c r="E103" s="14" t="n">
        <v>5</v>
      </c>
      <c r="F103" s="13"/>
    </row>
    <row r="104" customFormat="false" ht="15" hidden="false" customHeight="false" outlineLevel="0" collapsed="false">
      <c r="A104" s="11" t="s">
        <v>93</v>
      </c>
      <c r="B104" s="12" t="s">
        <v>94</v>
      </c>
      <c r="C104" s="12" t="s">
        <v>38</v>
      </c>
      <c r="D104" s="15" t="s">
        <v>40</v>
      </c>
      <c r="E104" s="14" t="n">
        <v>5</v>
      </c>
      <c r="F104" s="13"/>
    </row>
    <row r="105" customFormat="false" ht="15" hidden="false" customHeight="false" outlineLevel="0" collapsed="false">
      <c r="A105" s="11" t="s">
        <v>93</v>
      </c>
      <c r="B105" s="12" t="s">
        <v>94</v>
      </c>
      <c r="C105" s="12" t="s">
        <v>38</v>
      </c>
      <c r="D105" s="15" t="s">
        <v>96</v>
      </c>
      <c r="E105" s="14" t="n">
        <v>5</v>
      </c>
      <c r="F105" s="15" t="s">
        <v>42</v>
      </c>
    </row>
    <row r="106" customFormat="false" ht="15" hidden="false" customHeight="false" outlineLevel="0" collapsed="false">
      <c r="A106" s="11" t="s">
        <v>93</v>
      </c>
      <c r="B106" s="12" t="s">
        <v>94</v>
      </c>
      <c r="C106" s="12" t="s">
        <v>38</v>
      </c>
      <c r="D106" s="15" t="s">
        <v>43</v>
      </c>
      <c r="E106" s="14" t="n">
        <v>5</v>
      </c>
      <c r="F106" s="13"/>
    </row>
    <row r="107" customFormat="false" ht="44" hidden="false" customHeight="false" outlineLevel="0" collapsed="false">
      <c r="A107" s="16" t="s">
        <v>93</v>
      </c>
      <c r="B107" s="17" t="s">
        <v>94</v>
      </c>
      <c r="C107" s="16" t="s">
        <v>44</v>
      </c>
      <c r="D107" s="18" t="s">
        <v>45</v>
      </c>
      <c r="E107" s="19" t="n">
        <v>4</v>
      </c>
      <c r="F107" s="18" t="s">
        <v>46</v>
      </c>
    </row>
    <row r="108" customFormat="false" ht="29.85" hidden="false" customHeight="false" outlineLevel="0" collapsed="false">
      <c r="A108" s="16" t="s">
        <v>93</v>
      </c>
      <c r="B108" s="17" t="s">
        <v>94</v>
      </c>
      <c r="C108" s="16" t="s">
        <v>44</v>
      </c>
      <c r="D108" s="18" t="s">
        <v>47</v>
      </c>
      <c r="E108" s="19" t="n">
        <v>3</v>
      </c>
      <c r="F108" s="18" t="s">
        <v>48</v>
      </c>
    </row>
    <row r="109" customFormat="false" ht="44" hidden="false" customHeight="false" outlineLevel="0" collapsed="false">
      <c r="A109" s="16" t="s">
        <v>93</v>
      </c>
      <c r="B109" s="17" t="s">
        <v>94</v>
      </c>
      <c r="C109" s="16" t="s">
        <v>44</v>
      </c>
      <c r="D109" s="18" t="s">
        <v>49</v>
      </c>
      <c r="E109" s="19" t="n">
        <v>4</v>
      </c>
      <c r="F109" s="18" t="s">
        <v>50</v>
      </c>
    </row>
    <row r="110" customFormat="false" ht="58.2" hidden="false" customHeight="false" outlineLevel="0" collapsed="false">
      <c r="A110" s="16" t="s">
        <v>93</v>
      </c>
      <c r="B110" s="17" t="s">
        <v>94</v>
      </c>
      <c r="C110" s="16" t="s">
        <v>44</v>
      </c>
      <c r="D110" s="18" t="s">
        <v>51</v>
      </c>
      <c r="E110" s="19" t="n">
        <v>4</v>
      </c>
      <c r="F110" s="18" t="s">
        <v>97</v>
      </c>
    </row>
    <row r="111" customFormat="false" ht="29.85" hidden="false" customHeight="false" outlineLevel="0" collapsed="false">
      <c r="A111" s="16" t="s">
        <v>93</v>
      </c>
      <c r="B111" s="17" t="s">
        <v>94</v>
      </c>
      <c r="C111" s="16" t="s">
        <v>44</v>
      </c>
      <c r="D111" s="18" t="s">
        <v>53</v>
      </c>
      <c r="E111" s="19" t="n">
        <v>3</v>
      </c>
      <c r="F111" s="18" t="s">
        <v>54</v>
      </c>
    </row>
    <row r="112" customFormat="false" ht="44" hidden="false" customHeight="false" outlineLevel="0" collapsed="false">
      <c r="A112" s="16" t="s">
        <v>93</v>
      </c>
      <c r="B112" s="17" t="s">
        <v>94</v>
      </c>
      <c r="C112" s="16" t="s">
        <v>44</v>
      </c>
      <c r="D112" s="18" t="s">
        <v>55</v>
      </c>
      <c r="E112" s="19" t="n">
        <v>2</v>
      </c>
      <c r="F112" s="18" t="s">
        <v>56</v>
      </c>
    </row>
    <row r="113" customFormat="false" ht="15" hidden="false" customHeight="false" outlineLevel="0" collapsed="false">
      <c r="A113" s="20" t="s">
        <v>93</v>
      </c>
      <c r="B113" s="21" t="s">
        <v>94</v>
      </c>
      <c r="C113" s="21" t="s">
        <v>57</v>
      </c>
      <c r="D113" s="22" t="s">
        <v>81</v>
      </c>
      <c r="E113" s="23" t="n">
        <v>6</v>
      </c>
      <c r="F113" s="22"/>
    </row>
    <row r="114" customFormat="false" ht="15" hidden="false" customHeight="false" outlineLevel="0" collapsed="false">
      <c r="A114" s="20" t="s">
        <v>93</v>
      </c>
      <c r="B114" s="21" t="s">
        <v>94</v>
      </c>
      <c r="C114" s="21" t="s">
        <v>57</v>
      </c>
      <c r="D114" s="22" t="s">
        <v>98</v>
      </c>
      <c r="E114" s="23" t="n">
        <v>3</v>
      </c>
      <c r="F114" s="22"/>
    </row>
    <row r="115" customFormat="false" ht="15" hidden="false" customHeight="false" outlineLevel="0" collapsed="false">
      <c r="A115" s="20" t="s">
        <v>93</v>
      </c>
      <c r="B115" s="21" t="s">
        <v>94</v>
      </c>
      <c r="C115" s="21" t="s">
        <v>57</v>
      </c>
      <c r="D115" s="24" t="s">
        <v>99</v>
      </c>
      <c r="E115" s="23" t="n">
        <v>6</v>
      </c>
      <c r="F115" s="22"/>
    </row>
    <row r="116" customFormat="false" ht="29.85" hidden="false" customHeight="false" outlineLevel="0" collapsed="false">
      <c r="A116" s="20" t="s">
        <v>93</v>
      </c>
      <c r="B116" s="21" t="s">
        <v>94</v>
      </c>
      <c r="C116" s="21" t="s">
        <v>57</v>
      </c>
      <c r="D116" s="24" t="s">
        <v>100</v>
      </c>
      <c r="E116" s="23" t="n">
        <v>5</v>
      </c>
      <c r="F116" s="22"/>
    </row>
    <row r="117" customFormat="false" ht="15" hidden="false" customHeight="false" outlineLevel="0" collapsed="false">
      <c r="A117" s="6" t="s">
        <v>101</v>
      </c>
      <c r="B117" s="7" t="s">
        <v>102</v>
      </c>
      <c r="C117" s="7" t="s">
        <v>26</v>
      </c>
      <c r="D117" s="8" t="s">
        <v>103</v>
      </c>
      <c r="E117" s="9" t="n">
        <v>8</v>
      </c>
      <c r="F117" s="8" t="s">
        <v>28</v>
      </c>
    </row>
    <row r="118" customFormat="false" ht="15" hidden="false" customHeight="false" outlineLevel="0" collapsed="false">
      <c r="A118" s="6" t="s">
        <v>101</v>
      </c>
      <c r="B118" s="7" t="s">
        <v>102</v>
      </c>
      <c r="C118" s="7" t="s">
        <v>26</v>
      </c>
      <c r="D118" s="10" t="s">
        <v>29</v>
      </c>
      <c r="E118" s="9" t="n">
        <v>5</v>
      </c>
      <c r="F118" s="10"/>
    </row>
    <row r="119" customFormat="false" ht="15" hidden="false" customHeight="false" outlineLevel="0" collapsed="false">
      <c r="A119" s="6" t="s">
        <v>101</v>
      </c>
      <c r="B119" s="7" t="s">
        <v>102</v>
      </c>
      <c r="C119" s="7" t="s">
        <v>26</v>
      </c>
      <c r="D119" s="8" t="s">
        <v>30</v>
      </c>
      <c r="E119" s="9" t="n">
        <v>4</v>
      </c>
      <c r="F119" s="10"/>
    </row>
    <row r="120" customFormat="false" ht="15" hidden="false" customHeight="false" outlineLevel="0" collapsed="false">
      <c r="A120" s="6" t="s">
        <v>101</v>
      </c>
      <c r="B120" s="7" t="s">
        <v>102</v>
      </c>
      <c r="C120" s="7" t="s">
        <v>26</v>
      </c>
      <c r="D120" s="8" t="s">
        <v>31</v>
      </c>
      <c r="E120" s="9" t="n">
        <v>4</v>
      </c>
      <c r="F120" s="10"/>
    </row>
    <row r="121" customFormat="false" ht="15" hidden="false" customHeight="false" outlineLevel="0" collapsed="false">
      <c r="A121" s="6" t="s">
        <v>101</v>
      </c>
      <c r="B121" s="7" t="s">
        <v>102</v>
      </c>
      <c r="C121" s="7" t="s">
        <v>26</v>
      </c>
      <c r="D121" s="8" t="s">
        <v>32</v>
      </c>
      <c r="E121" s="9" t="n">
        <v>4</v>
      </c>
      <c r="F121" s="10"/>
    </row>
    <row r="122" customFormat="false" ht="15" hidden="false" customHeight="false" outlineLevel="0" collapsed="false">
      <c r="A122" s="6" t="s">
        <v>101</v>
      </c>
      <c r="B122" s="7" t="s">
        <v>102</v>
      </c>
      <c r="C122" s="7" t="s">
        <v>26</v>
      </c>
      <c r="D122" s="8" t="s">
        <v>33</v>
      </c>
      <c r="E122" s="9" t="n">
        <v>4</v>
      </c>
      <c r="F122" s="10"/>
    </row>
    <row r="123" customFormat="false" ht="15" hidden="false" customHeight="false" outlineLevel="0" collapsed="false">
      <c r="A123" s="6" t="s">
        <v>101</v>
      </c>
      <c r="B123" s="7" t="s">
        <v>102</v>
      </c>
      <c r="C123" s="7" t="s">
        <v>26</v>
      </c>
      <c r="D123" s="8" t="s">
        <v>34</v>
      </c>
      <c r="E123" s="9" t="n">
        <v>4</v>
      </c>
      <c r="F123" s="10"/>
    </row>
    <row r="124" customFormat="false" ht="15" hidden="false" customHeight="false" outlineLevel="0" collapsed="false">
      <c r="A124" s="6" t="s">
        <v>101</v>
      </c>
      <c r="B124" s="7" t="s">
        <v>102</v>
      </c>
      <c r="C124" s="7" t="s">
        <v>26</v>
      </c>
      <c r="D124" s="8" t="s">
        <v>35</v>
      </c>
      <c r="E124" s="9" t="n">
        <v>4</v>
      </c>
      <c r="F124" s="10"/>
    </row>
    <row r="125" customFormat="false" ht="15" hidden="false" customHeight="false" outlineLevel="0" collapsed="false">
      <c r="A125" s="6" t="s">
        <v>101</v>
      </c>
      <c r="B125" s="7" t="s">
        <v>102</v>
      </c>
      <c r="C125" s="7" t="s">
        <v>26</v>
      </c>
      <c r="D125" s="8" t="s">
        <v>36</v>
      </c>
      <c r="E125" s="9" t="n">
        <v>3</v>
      </c>
      <c r="F125" s="8" t="s">
        <v>104</v>
      </c>
    </row>
    <row r="126" customFormat="false" ht="15" hidden="false" customHeight="false" outlineLevel="0" collapsed="false">
      <c r="A126" s="11" t="s">
        <v>101</v>
      </c>
      <c r="B126" s="12" t="s">
        <v>102</v>
      </c>
      <c r="C126" s="12" t="s">
        <v>38</v>
      </c>
      <c r="D126" s="13" t="s">
        <v>39</v>
      </c>
      <c r="E126" s="14" t="n">
        <v>5</v>
      </c>
      <c r="F126" s="13"/>
    </row>
    <row r="127" customFormat="false" ht="15" hidden="false" customHeight="false" outlineLevel="0" collapsed="false">
      <c r="A127" s="11" t="s">
        <v>101</v>
      </c>
      <c r="B127" s="12" t="s">
        <v>102</v>
      </c>
      <c r="C127" s="12" t="s">
        <v>38</v>
      </c>
      <c r="D127" s="15" t="s">
        <v>40</v>
      </c>
      <c r="E127" s="14" t="n">
        <v>5</v>
      </c>
      <c r="F127" s="13"/>
    </row>
    <row r="128" customFormat="false" ht="15" hidden="false" customHeight="false" outlineLevel="0" collapsed="false">
      <c r="A128" s="11" t="s">
        <v>101</v>
      </c>
      <c r="B128" s="12" t="s">
        <v>102</v>
      </c>
      <c r="C128" s="12" t="s">
        <v>38</v>
      </c>
      <c r="D128" s="13" t="s">
        <v>105</v>
      </c>
      <c r="E128" s="14" t="n">
        <v>5</v>
      </c>
      <c r="F128" s="15" t="s">
        <v>42</v>
      </c>
    </row>
    <row r="129" customFormat="false" ht="15" hidden="false" customHeight="false" outlineLevel="0" collapsed="false">
      <c r="A129" s="11" t="s">
        <v>101</v>
      </c>
      <c r="B129" s="12" t="s">
        <v>102</v>
      </c>
      <c r="C129" s="12" t="s">
        <v>38</v>
      </c>
      <c r="D129" s="15" t="s">
        <v>43</v>
      </c>
      <c r="E129" s="14" t="n">
        <v>5</v>
      </c>
      <c r="F129" s="13"/>
    </row>
    <row r="130" customFormat="false" ht="44" hidden="false" customHeight="false" outlineLevel="0" collapsed="false">
      <c r="A130" s="16" t="s">
        <v>101</v>
      </c>
      <c r="B130" s="17" t="s">
        <v>102</v>
      </c>
      <c r="C130" s="16" t="s">
        <v>44</v>
      </c>
      <c r="D130" s="18" t="s">
        <v>45</v>
      </c>
      <c r="E130" s="19" t="n">
        <v>4</v>
      </c>
      <c r="F130" s="18" t="s">
        <v>46</v>
      </c>
    </row>
    <row r="131" customFormat="false" ht="29.85" hidden="false" customHeight="false" outlineLevel="0" collapsed="false">
      <c r="A131" s="16" t="s">
        <v>101</v>
      </c>
      <c r="B131" s="17" t="s">
        <v>102</v>
      </c>
      <c r="C131" s="16" t="s">
        <v>44</v>
      </c>
      <c r="D131" s="18" t="s">
        <v>47</v>
      </c>
      <c r="E131" s="19" t="n">
        <v>3</v>
      </c>
      <c r="F131" s="18" t="s">
        <v>48</v>
      </c>
    </row>
    <row r="132" customFormat="false" ht="44" hidden="false" customHeight="false" outlineLevel="0" collapsed="false">
      <c r="A132" s="16" t="s">
        <v>101</v>
      </c>
      <c r="B132" s="17" t="s">
        <v>102</v>
      </c>
      <c r="C132" s="16" t="s">
        <v>44</v>
      </c>
      <c r="D132" s="18" t="s">
        <v>49</v>
      </c>
      <c r="E132" s="19" t="n">
        <v>4</v>
      </c>
      <c r="F132" s="18" t="s">
        <v>106</v>
      </c>
    </row>
    <row r="133" customFormat="false" ht="58.2" hidden="false" customHeight="false" outlineLevel="0" collapsed="false">
      <c r="A133" s="16" t="s">
        <v>101</v>
      </c>
      <c r="B133" s="17" t="s">
        <v>102</v>
      </c>
      <c r="C133" s="16" t="s">
        <v>44</v>
      </c>
      <c r="D133" s="18" t="s">
        <v>51</v>
      </c>
      <c r="E133" s="19" t="n">
        <v>4</v>
      </c>
      <c r="F133" s="18" t="s">
        <v>107</v>
      </c>
    </row>
    <row r="134" customFormat="false" ht="29.85" hidden="false" customHeight="false" outlineLevel="0" collapsed="false">
      <c r="A134" s="16" t="s">
        <v>101</v>
      </c>
      <c r="B134" s="17" t="s">
        <v>102</v>
      </c>
      <c r="C134" s="16" t="s">
        <v>44</v>
      </c>
      <c r="D134" s="18" t="s">
        <v>53</v>
      </c>
      <c r="E134" s="19" t="n">
        <v>3</v>
      </c>
      <c r="F134" s="18" t="s">
        <v>54</v>
      </c>
    </row>
    <row r="135" customFormat="false" ht="44" hidden="false" customHeight="false" outlineLevel="0" collapsed="false">
      <c r="A135" s="16" t="s">
        <v>101</v>
      </c>
      <c r="B135" s="17" t="s">
        <v>102</v>
      </c>
      <c r="C135" s="16" t="s">
        <v>44</v>
      </c>
      <c r="D135" s="18" t="s">
        <v>55</v>
      </c>
      <c r="E135" s="19" t="n">
        <v>2</v>
      </c>
      <c r="F135" s="18" t="s">
        <v>56</v>
      </c>
    </row>
    <row r="136" customFormat="false" ht="15" hidden="false" customHeight="false" outlineLevel="0" collapsed="false">
      <c r="A136" s="20" t="s">
        <v>101</v>
      </c>
      <c r="B136" s="21" t="s">
        <v>102</v>
      </c>
      <c r="C136" s="21" t="s">
        <v>57</v>
      </c>
      <c r="D136" s="22" t="s">
        <v>108</v>
      </c>
      <c r="E136" s="23" t="n">
        <v>6</v>
      </c>
      <c r="F136" s="22"/>
    </row>
    <row r="137" customFormat="false" ht="15" hidden="false" customHeight="false" outlineLevel="0" collapsed="false">
      <c r="A137" s="20" t="s">
        <v>101</v>
      </c>
      <c r="B137" s="21" t="s">
        <v>102</v>
      </c>
      <c r="C137" s="21" t="s">
        <v>57</v>
      </c>
      <c r="D137" s="22" t="s">
        <v>109</v>
      </c>
      <c r="E137" s="23" t="n">
        <v>3</v>
      </c>
      <c r="F137" s="22"/>
    </row>
    <row r="138" customFormat="false" ht="15" hidden="false" customHeight="false" outlineLevel="0" collapsed="false">
      <c r="A138" s="20" t="s">
        <v>101</v>
      </c>
      <c r="B138" s="21" t="s">
        <v>102</v>
      </c>
      <c r="C138" s="21" t="s">
        <v>57</v>
      </c>
      <c r="D138" s="24" t="s">
        <v>110</v>
      </c>
      <c r="E138" s="23" t="n">
        <v>6</v>
      </c>
      <c r="F138" s="22"/>
    </row>
    <row r="139" customFormat="false" ht="29.85" hidden="false" customHeight="false" outlineLevel="0" collapsed="false">
      <c r="A139" s="20" t="s">
        <v>101</v>
      </c>
      <c r="B139" s="21" t="s">
        <v>102</v>
      </c>
      <c r="C139" s="21" t="s">
        <v>57</v>
      </c>
      <c r="D139" s="24" t="s">
        <v>111</v>
      </c>
      <c r="E139" s="23" t="n">
        <v>5</v>
      </c>
      <c r="F139" s="22"/>
    </row>
    <row r="140" customFormat="false" ht="15" hidden="false" customHeight="false" outlineLevel="0" collapsed="false">
      <c r="A140" s="6" t="s">
        <v>112</v>
      </c>
      <c r="B140" s="7" t="s">
        <v>113</v>
      </c>
      <c r="C140" s="7" t="s">
        <v>26</v>
      </c>
      <c r="D140" s="8" t="s">
        <v>114</v>
      </c>
      <c r="E140" s="9" t="n">
        <v>8</v>
      </c>
      <c r="F140" s="8" t="s">
        <v>28</v>
      </c>
    </row>
    <row r="141" customFormat="false" ht="15" hidden="false" customHeight="false" outlineLevel="0" collapsed="false">
      <c r="A141" s="6" t="s">
        <v>112</v>
      </c>
      <c r="B141" s="7" t="s">
        <v>113</v>
      </c>
      <c r="C141" s="7" t="s">
        <v>26</v>
      </c>
      <c r="D141" s="10" t="s">
        <v>29</v>
      </c>
      <c r="E141" s="9" t="n">
        <v>5</v>
      </c>
      <c r="F141" s="10"/>
    </row>
    <row r="142" customFormat="false" ht="15" hidden="false" customHeight="false" outlineLevel="0" collapsed="false">
      <c r="A142" s="6" t="s">
        <v>112</v>
      </c>
      <c r="B142" s="7" t="s">
        <v>113</v>
      </c>
      <c r="C142" s="7" t="s">
        <v>26</v>
      </c>
      <c r="D142" s="8" t="s">
        <v>30</v>
      </c>
      <c r="E142" s="9" t="n">
        <v>4</v>
      </c>
      <c r="F142" s="10"/>
    </row>
    <row r="143" customFormat="false" ht="15" hidden="false" customHeight="false" outlineLevel="0" collapsed="false">
      <c r="A143" s="6" t="s">
        <v>112</v>
      </c>
      <c r="B143" s="7" t="s">
        <v>113</v>
      </c>
      <c r="C143" s="7" t="s">
        <v>26</v>
      </c>
      <c r="D143" s="8" t="s">
        <v>31</v>
      </c>
      <c r="E143" s="9" t="n">
        <v>4</v>
      </c>
      <c r="F143" s="10"/>
    </row>
    <row r="144" customFormat="false" ht="15" hidden="false" customHeight="false" outlineLevel="0" collapsed="false">
      <c r="A144" s="6" t="s">
        <v>112</v>
      </c>
      <c r="B144" s="7" t="s">
        <v>113</v>
      </c>
      <c r="C144" s="7" t="s">
        <v>26</v>
      </c>
      <c r="D144" s="8" t="s">
        <v>32</v>
      </c>
      <c r="E144" s="9" t="n">
        <v>4</v>
      </c>
      <c r="F144" s="10"/>
    </row>
    <row r="145" customFormat="false" ht="15" hidden="false" customHeight="false" outlineLevel="0" collapsed="false">
      <c r="A145" s="6" t="s">
        <v>112</v>
      </c>
      <c r="B145" s="7" t="s">
        <v>113</v>
      </c>
      <c r="C145" s="7" t="s">
        <v>26</v>
      </c>
      <c r="D145" s="8" t="s">
        <v>33</v>
      </c>
      <c r="E145" s="9" t="n">
        <v>4</v>
      </c>
      <c r="F145" s="10"/>
    </row>
    <row r="146" customFormat="false" ht="15" hidden="false" customHeight="false" outlineLevel="0" collapsed="false">
      <c r="A146" s="6" t="s">
        <v>112</v>
      </c>
      <c r="B146" s="7" t="s">
        <v>113</v>
      </c>
      <c r="C146" s="7" t="s">
        <v>26</v>
      </c>
      <c r="D146" s="8" t="s">
        <v>34</v>
      </c>
      <c r="E146" s="9" t="n">
        <v>4</v>
      </c>
      <c r="F146" s="10"/>
    </row>
    <row r="147" customFormat="false" ht="15" hidden="false" customHeight="false" outlineLevel="0" collapsed="false">
      <c r="A147" s="6" t="s">
        <v>112</v>
      </c>
      <c r="B147" s="7" t="s">
        <v>113</v>
      </c>
      <c r="C147" s="7" t="s">
        <v>26</v>
      </c>
      <c r="D147" s="8" t="s">
        <v>35</v>
      </c>
      <c r="E147" s="9" t="n">
        <v>4</v>
      </c>
      <c r="F147" s="10"/>
    </row>
    <row r="148" customFormat="false" ht="15" hidden="false" customHeight="false" outlineLevel="0" collapsed="false">
      <c r="A148" s="6" t="s">
        <v>112</v>
      </c>
      <c r="B148" s="7" t="s">
        <v>113</v>
      </c>
      <c r="C148" s="7" t="s">
        <v>26</v>
      </c>
      <c r="D148" s="8" t="s">
        <v>36</v>
      </c>
      <c r="E148" s="9" t="n">
        <v>3</v>
      </c>
      <c r="F148" s="8" t="s">
        <v>115</v>
      </c>
    </row>
    <row r="149" customFormat="false" ht="15" hidden="false" customHeight="false" outlineLevel="0" collapsed="false">
      <c r="A149" s="11" t="s">
        <v>112</v>
      </c>
      <c r="B149" s="12" t="s">
        <v>113</v>
      </c>
      <c r="C149" s="12" t="s">
        <v>38</v>
      </c>
      <c r="D149" s="13" t="s">
        <v>39</v>
      </c>
      <c r="E149" s="14" t="n">
        <v>5</v>
      </c>
      <c r="F149" s="13"/>
    </row>
    <row r="150" customFormat="false" ht="15" hidden="false" customHeight="false" outlineLevel="0" collapsed="false">
      <c r="A150" s="11" t="s">
        <v>112</v>
      </c>
      <c r="B150" s="12" t="s">
        <v>113</v>
      </c>
      <c r="C150" s="12" t="s">
        <v>38</v>
      </c>
      <c r="D150" s="15" t="s">
        <v>40</v>
      </c>
      <c r="E150" s="14" t="n">
        <v>5</v>
      </c>
      <c r="F150" s="13"/>
    </row>
    <row r="151" customFormat="false" ht="15" hidden="false" customHeight="false" outlineLevel="0" collapsed="false">
      <c r="A151" s="11" t="s">
        <v>112</v>
      </c>
      <c r="B151" s="12" t="s">
        <v>113</v>
      </c>
      <c r="C151" s="12" t="s">
        <v>38</v>
      </c>
      <c r="D151" s="13" t="s">
        <v>116</v>
      </c>
      <c r="E151" s="14" t="n">
        <v>5</v>
      </c>
      <c r="F151" s="15" t="s">
        <v>42</v>
      </c>
    </row>
    <row r="152" customFormat="false" ht="15" hidden="false" customHeight="false" outlineLevel="0" collapsed="false">
      <c r="A152" s="11" t="s">
        <v>112</v>
      </c>
      <c r="B152" s="12" t="s">
        <v>113</v>
      </c>
      <c r="C152" s="12" t="s">
        <v>38</v>
      </c>
      <c r="D152" s="15" t="s">
        <v>43</v>
      </c>
      <c r="E152" s="14" t="n">
        <v>5</v>
      </c>
      <c r="F152" s="13"/>
    </row>
    <row r="153" customFormat="false" ht="44" hidden="false" customHeight="false" outlineLevel="0" collapsed="false">
      <c r="A153" s="16" t="s">
        <v>112</v>
      </c>
      <c r="B153" s="17" t="s">
        <v>113</v>
      </c>
      <c r="C153" s="16" t="s">
        <v>44</v>
      </c>
      <c r="D153" s="18" t="s">
        <v>45</v>
      </c>
      <c r="E153" s="19" t="n">
        <v>4</v>
      </c>
      <c r="F153" s="18" t="s">
        <v>46</v>
      </c>
    </row>
    <row r="154" customFormat="false" ht="29.85" hidden="false" customHeight="false" outlineLevel="0" collapsed="false">
      <c r="A154" s="16" t="s">
        <v>112</v>
      </c>
      <c r="B154" s="17" t="s">
        <v>113</v>
      </c>
      <c r="C154" s="16" t="s">
        <v>44</v>
      </c>
      <c r="D154" s="18" t="s">
        <v>47</v>
      </c>
      <c r="E154" s="19" t="n">
        <v>3</v>
      </c>
      <c r="F154" s="18" t="s">
        <v>48</v>
      </c>
    </row>
    <row r="155" customFormat="false" ht="44" hidden="false" customHeight="false" outlineLevel="0" collapsed="false">
      <c r="A155" s="16" t="s">
        <v>112</v>
      </c>
      <c r="B155" s="17" t="s">
        <v>113</v>
      </c>
      <c r="C155" s="16" t="s">
        <v>44</v>
      </c>
      <c r="D155" s="18" t="s">
        <v>49</v>
      </c>
      <c r="E155" s="19" t="n">
        <v>4</v>
      </c>
      <c r="F155" s="18" t="s">
        <v>117</v>
      </c>
    </row>
    <row r="156" customFormat="false" ht="41" hidden="false" customHeight="false" outlineLevel="0" collapsed="false">
      <c r="A156" s="16" t="s">
        <v>112</v>
      </c>
      <c r="B156" s="17" t="s">
        <v>113</v>
      </c>
      <c r="C156" s="16" t="s">
        <v>44</v>
      </c>
      <c r="D156" s="18" t="s">
        <v>51</v>
      </c>
      <c r="E156" s="19" t="n">
        <v>4</v>
      </c>
      <c r="F156" s="18" t="s">
        <v>118</v>
      </c>
    </row>
    <row r="157" customFormat="false" ht="29.85" hidden="false" customHeight="false" outlineLevel="0" collapsed="false">
      <c r="A157" s="16" t="s">
        <v>112</v>
      </c>
      <c r="B157" s="17" t="s">
        <v>113</v>
      </c>
      <c r="C157" s="16" t="s">
        <v>44</v>
      </c>
      <c r="D157" s="18" t="s">
        <v>53</v>
      </c>
      <c r="E157" s="19" t="n">
        <v>3</v>
      </c>
      <c r="F157" s="18" t="s">
        <v>54</v>
      </c>
    </row>
    <row r="158" customFormat="false" ht="44" hidden="false" customHeight="false" outlineLevel="0" collapsed="false">
      <c r="A158" s="16" t="s">
        <v>112</v>
      </c>
      <c r="B158" s="17" t="s">
        <v>113</v>
      </c>
      <c r="C158" s="16" t="s">
        <v>44</v>
      </c>
      <c r="D158" s="18" t="s">
        <v>55</v>
      </c>
      <c r="E158" s="19" t="n">
        <v>2</v>
      </c>
      <c r="F158" s="18" t="s">
        <v>56</v>
      </c>
    </row>
    <row r="159" customFormat="false" ht="15" hidden="false" customHeight="false" outlineLevel="0" collapsed="false">
      <c r="A159" s="20" t="s">
        <v>112</v>
      </c>
      <c r="B159" s="21" t="s">
        <v>113</v>
      </c>
      <c r="C159" s="21" t="s">
        <v>57</v>
      </c>
      <c r="D159" s="22" t="s">
        <v>119</v>
      </c>
      <c r="E159" s="23" t="n">
        <v>6</v>
      </c>
      <c r="F159" s="22"/>
    </row>
    <row r="160" customFormat="false" ht="15" hidden="false" customHeight="false" outlineLevel="0" collapsed="false">
      <c r="A160" s="20" t="s">
        <v>112</v>
      </c>
      <c r="B160" s="21" t="s">
        <v>113</v>
      </c>
      <c r="C160" s="21" t="s">
        <v>57</v>
      </c>
      <c r="D160" s="22" t="s">
        <v>120</v>
      </c>
      <c r="E160" s="23" t="n">
        <v>3</v>
      </c>
      <c r="F160" s="22"/>
    </row>
    <row r="161" customFormat="false" ht="15" hidden="false" customHeight="false" outlineLevel="0" collapsed="false">
      <c r="A161" s="20" t="s">
        <v>112</v>
      </c>
      <c r="B161" s="21" t="s">
        <v>113</v>
      </c>
      <c r="C161" s="21" t="s">
        <v>57</v>
      </c>
      <c r="D161" s="24" t="s">
        <v>121</v>
      </c>
      <c r="E161" s="23" t="n">
        <v>6</v>
      </c>
      <c r="F161" s="22"/>
    </row>
    <row r="162" customFormat="false" ht="15" hidden="false" customHeight="false" outlineLevel="0" collapsed="false">
      <c r="A162" s="20" t="s">
        <v>112</v>
      </c>
      <c r="B162" s="21" t="s">
        <v>113</v>
      </c>
      <c r="C162" s="21" t="s">
        <v>57</v>
      </c>
      <c r="D162" s="24" t="s">
        <v>122</v>
      </c>
      <c r="E162" s="23" t="n">
        <v>5</v>
      </c>
      <c r="F162" s="22"/>
    </row>
    <row r="163" customFormat="false" ht="15" hidden="false" customHeight="false" outlineLevel="0" collapsed="false">
      <c r="A163" s="6" t="s">
        <v>123</v>
      </c>
      <c r="B163" s="7" t="s">
        <v>124</v>
      </c>
      <c r="C163" s="7" t="s">
        <v>26</v>
      </c>
      <c r="D163" s="8" t="s">
        <v>125</v>
      </c>
      <c r="E163" s="9" t="n">
        <v>8</v>
      </c>
      <c r="F163" s="8" t="s">
        <v>28</v>
      </c>
    </row>
    <row r="164" customFormat="false" ht="15" hidden="false" customHeight="false" outlineLevel="0" collapsed="false">
      <c r="A164" s="6" t="s">
        <v>123</v>
      </c>
      <c r="B164" s="7" t="s">
        <v>124</v>
      </c>
      <c r="C164" s="7" t="s">
        <v>26</v>
      </c>
      <c r="D164" s="10" t="s">
        <v>29</v>
      </c>
      <c r="E164" s="9" t="n">
        <v>5</v>
      </c>
      <c r="F164" s="10"/>
    </row>
    <row r="165" customFormat="false" ht="15" hidden="false" customHeight="false" outlineLevel="0" collapsed="false">
      <c r="A165" s="6" t="s">
        <v>123</v>
      </c>
      <c r="B165" s="7" t="s">
        <v>124</v>
      </c>
      <c r="C165" s="7" t="s">
        <v>26</v>
      </c>
      <c r="D165" s="8" t="s">
        <v>30</v>
      </c>
      <c r="E165" s="9" t="n">
        <v>4</v>
      </c>
      <c r="F165" s="10"/>
    </row>
    <row r="166" customFormat="false" ht="15" hidden="false" customHeight="false" outlineLevel="0" collapsed="false">
      <c r="A166" s="6" t="s">
        <v>123</v>
      </c>
      <c r="B166" s="7" t="s">
        <v>124</v>
      </c>
      <c r="C166" s="7" t="s">
        <v>26</v>
      </c>
      <c r="D166" s="8" t="s">
        <v>31</v>
      </c>
      <c r="E166" s="9" t="n">
        <v>4</v>
      </c>
      <c r="F166" s="10"/>
    </row>
    <row r="167" customFormat="false" ht="15" hidden="false" customHeight="false" outlineLevel="0" collapsed="false">
      <c r="A167" s="6" t="s">
        <v>123</v>
      </c>
      <c r="B167" s="7" t="s">
        <v>124</v>
      </c>
      <c r="C167" s="7" t="s">
        <v>26</v>
      </c>
      <c r="D167" s="8" t="s">
        <v>32</v>
      </c>
      <c r="E167" s="9" t="n">
        <v>4</v>
      </c>
      <c r="F167" s="10"/>
    </row>
    <row r="168" customFormat="false" ht="15" hidden="false" customHeight="false" outlineLevel="0" collapsed="false">
      <c r="A168" s="6" t="s">
        <v>123</v>
      </c>
      <c r="B168" s="7" t="s">
        <v>124</v>
      </c>
      <c r="C168" s="7" t="s">
        <v>26</v>
      </c>
      <c r="D168" s="8" t="s">
        <v>33</v>
      </c>
      <c r="E168" s="9" t="n">
        <v>4</v>
      </c>
      <c r="F168" s="10"/>
    </row>
    <row r="169" customFormat="false" ht="15" hidden="false" customHeight="false" outlineLevel="0" collapsed="false">
      <c r="A169" s="6" t="s">
        <v>123</v>
      </c>
      <c r="B169" s="7" t="s">
        <v>124</v>
      </c>
      <c r="C169" s="7" t="s">
        <v>26</v>
      </c>
      <c r="D169" s="8" t="s">
        <v>34</v>
      </c>
      <c r="E169" s="9" t="n">
        <v>4</v>
      </c>
      <c r="F169" s="10"/>
    </row>
    <row r="170" customFormat="false" ht="15" hidden="false" customHeight="false" outlineLevel="0" collapsed="false">
      <c r="A170" s="6" t="s">
        <v>123</v>
      </c>
      <c r="B170" s="7" t="s">
        <v>124</v>
      </c>
      <c r="C170" s="7" t="s">
        <v>26</v>
      </c>
      <c r="D170" s="8" t="s">
        <v>35</v>
      </c>
      <c r="E170" s="9" t="n">
        <v>4</v>
      </c>
      <c r="F170" s="10"/>
    </row>
    <row r="171" customFormat="false" ht="29.85" hidden="false" customHeight="false" outlineLevel="0" collapsed="false">
      <c r="A171" s="6" t="s">
        <v>123</v>
      </c>
      <c r="B171" s="7" t="s">
        <v>124</v>
      </c>
      <c r="C171" s="7" t="s">
        <v>26</v>
      </c>
      <c r="D171" s="8" t="s">
        <v>36</v>
      </c>
      <c r="E171" s="9" t="n">
        <v>3</v>
      </c>
      <c r="F171" s="8" t="s">
        <v>126</v>
      </c>
    </row>
    <row r="172" customFormat="false" ht="15" hidden="false" customHeight="false" outlineLevel="0" collapsed="false">
      <c r="A172" s="11" t="s">
        <v>123</v>
      </c>
      <c r="B172" s="12" t="s">
        <v>124</v>
      </c>
      <c r="C172" s="12" t="s">
        <v>38</v>
      </c>
      <c r="D172" s="13" t="s">
        <v>39</v>
      </c>
      <c r="E172" s="14" t="n">
        <v>5</v>
      </c>
      <c r="F172" s="13"/>
    </row>
    <row r="173" customFormat="false" ht="15" hidden="false" customHeight="false" outlineLevel="0" collapsed="false">
      <c r="A173" s="11" t="s">
        <v>123</v>
      </c>
      <c r="B173" s="12" t="s">
        <v>124</v>
      </c>
      <c r="C173" s="12" t="s">
        <v>38</v>
      </c>
      <c r="D173" s="15" t="s">
        <v>40</v>
      </c>
      <c r="E173" s="14" t="n">
        <v>5</v>
      </c>
      <c r="F173" s="13"/>
    </row>
    <row r="174" customFormat="false" ht="15" hidden="false" customHeight="false" outlineLevel="0" collapsed="false">
      <c r="A174" s="11" t="s">
        <v>123</v>
      </c>
      <c r="B174" s="12" t="s">
        <v>124</v>
      </c>
      <c r="C174" s="12" t="s">
        <v>38</v>
      </c>
      <c r="D174" s="15" t="s">
        <v>127</v>
      </c>
      <c r="E174" s="14" t="n">
        <v>5</v>
      </c>
      <c r="F174" s="15" t="s">
        <v>42</v>
      </c>
    </row>
    <row r="175" customFormat="false" ht="15" hidden="false" customHeight="false" outlineLevel="0" collapsed="false">
      <c r="A175" s="11" t="s">
        <v>123</v>
      </c>
      <c r="B175" s="12" t="s">
        <v>124</v>
      </c>
      <c r="C175" s="12" t="s">
        <v>38</v>
      </c>
      <c r="D175" s="15" t="s">
        <v>43</v>
      </c>
      <c r="E175" s="14" t="n">
        <v>5</v>
      </c>
      <c r="F175" s="13"/>
    </row>
    <row r="176" customFormat="false" ht="44" hidden="false" customHeight="false" outlineLevel="0" collapsed="false">
      <c r="A176" s="16" t="s">
        <v>123</v>
      </c>
      <c r="B176" s="17" t="s">
        <v>124</v>
      </c>
      <c r="C176" s="16" t="s">
        <v>44</v>
      </c>
      <c r="D176" s="18" t="s">
        <v>45</v>
      </c>
      <c r="E176" s="19" t="n">
        <v>4</v>
      </c>
      <c r="F176" s="18" t="s">
        <v>46</v>
      </c>
    </row>
    <row r="177" customFormat="false" ht="29.85" hidden="false" customHeight="false" outlineLevel="0" collapsed="false">
      <c r="A177" s="16" t="s">
        <v>123</v>
      </c>
      <c r="B177" s="17" t="s">
        <v>124</v>
      </c>
      <c r="C177" s="16" t="s">
        <v>44</v>
      </c>
      <c r="D177" s="18" t="s">
        <v>47</v>
      </c>
      <c r="E177" s="19" t="n">
        <v>3</v>
      </c>
      <c r="F177" s="18" t="s">
        <v>48</v>
      </c>
    </row>
    <row r="178" customFormat="false" ht="58.2" hidden="false" customHeight="false" outlineLevel="0" collapsed="false">
      <c r="A178" s="16" t="s">
        <v>123</v>
      </c>
      <c r="B178" s="17" t="s">
        <v>124</v>
      </c>
      <c r="C178" s="16" t="s">
        <v>44</v>
      </c>
      <c r="D178" s="18" t="s">
        <v>49</v>
      </c>
      <c r="E178" s="19" t="n">
        <v>4</v>
      </c>
      <c r="F178" s="18" t="s">
        <v>128</v>
      </c>
    </row>
    <row r="179" customFormat="false" ht="58.2" hidden="false" customHeight="false" outlineLevel="0" collapsed="false">
      <c r="A179" s="16" t="s">
        <v>123</v>
      </c>
      <c r="B179" s="17" t="s">
        <v>124</v>
      </c>
      <c r="C179" s="16" t="s">
        <v>44</v>
      </c>
      <c r="D179" s="18" t="s">
        <v>51</v>
      </c>
      <c r="E179" s="19" t="n">
        <v>4</v>
      </c>
      <c r="F179" s="18" t="s">
        <v>129</v>
      </c>
    </row>
    <row r="180" customFormat="false" ht="29.85" hidden="false" customHeight="false" outlineLevel="0" collapsed="false">
      <c r="A180" s="16" t="s">
        <v>123</v>
      </c>
      <c r="B180" s="17" t="s">
        <v>124</v>
      </c>
      <c r="C180" s="16" t="s">
        <v>44</v>
      </c>
      <c r="D180" s="18" t="s">
        <v>53</v>
      </c>
      <c r="E180" s="19" t="n">
        <v>3</v>
      </c>
      <c r="F180" s="18" t="s">
        <v>54</v>
      </c>
    </row>
    <row r="181" customFormat="false" ht="44" hidden="false" customHeight="false" outlineLevel="0" collapsed="false">
      <c r="A181" s="16" t="s">
        <v>123</v>
      </c>
      <c r="B181" s="17" t="s">
        <v>124</v>
      </c>
      <c r="C181" s="16" t="s">
        <v>44</v>
      </c>
      <c r="D181" s="18" t="s">
        <v>55</v>
      </c>
      <c r="E181" s="19" t="n">
        <v>2</v>
      </c>
      <c r="F181" s="18" t="s">
        <v>56</v>
      </c>
    </row>
    <row r="182" customFormat="false" ht="15" hidden="false" customHeight="false" outlineLevel="0" collapsed="false">
      <c r="A182" s="20" t="s">
        <v>123</v>
      </c>
      <c r="B182" s="21" t="s">
        <v>124</v>
      </c>
      <c r="C182" s="21" t="s">
        <v>57</v>
      </c>
      <c r="D182" s="22" t="s">
        <v>130</v>
      </c>
      <c r="E182" s="23" t="n">
        <v>6</v>
      </c>
      <c r="F182" s="22"/>
    </row>
    <row r="183" customFormat="false" ht="15" hidden="false" customHeight="false" outlineLevel="0" collapsed="false">
      <c r="A183" s="20" t="s">
        <v>123</v>
      </c>
      <c r="B183" s="21" t="s">
        <v>124</v>
      </c>
      <c r="C183" s="21" t="s">
        <v>57</v>
      </c>
      <c r="D183" s="22" t="s">
        <v>131</v>
      </c>
      <c r="E183" s="23" t="n">
        <v>3</v>
      </c>
      <c r="F183" s="22"/>
    </row>
    <row r="184" customFormat="false" ht="29.85" hidden="false" customHeight="false" outlineLevel="0" collapsed="false">
      <c r="A184" s="20" t="s">
        <v>123</v>
      </c>
      <c r="B184" s="21" t="s">
        <v>124</v>
      </c>
      <c r="C184" s="21" t="s">
        <v>57</v>
      </c>
      <c r="D184" s="24" t="s">
        <v>132</v>
      </c>
      <c r="E184" s="23" t="n">
        <v>6</v>
      </c>
      <c r="F184" s="22"/>
    </row>
    <row r="185" customFormat="false" ht="29.85" hidden="false" customHeight="false" outlineLevel="0" collapsed="false">
      <c r="A185" s="20" t="s">
        <v>123</v>
      </c>
      <c r="B185" s="21" t="s">
        <v>124</v>
      </c>
      <c r="C185" s="21" t="s">
        <v>57</v>
      </c>
      <c r="D185" s="24" t="s">
        <v>133</v>
      </c>
      <c r="E185" s="23" t="n">
        <v>5</v>
      </c>
      <c r="F185" s="22"/>
    </row>
    <row r="186" customFormat="false" ht="15" hidden="false" customHeight="false" outlineLevel="0" collapsed="false">
      <c r="A186" s="6" t="s">
        <v>134</v>
      </c>
      <c r="B186" s="7" t="s">
        <v>135</v>
      </c>
      <c r="C186" s="7" t="s">
        <v>26</v>
      </c>
      <c r="D186" s="8" t="s">
        <v>136</v>
      </c>
      <c r="E186" s="9" t="n">
        <v>8</v>
      </c>
      <c r="F186" s="8" t="s">
        <v>28</v>
      </c>
    </row>
    <row r="187" customFormat="false" ht="15" hidden="false" customHeight="false" outlineLevel="0" collapsed="false">
      <c r="A187" s="6" t="s">
        <v>134</v>
      </c>
      <c r="B187" s="7" t="s">
        <v>135</v>
      </c>
      <c r="C187" s="7" t="s">
        <v>26</v>
      </c>
      <c r="D187" s="10" t="s">
        <v>29</v>
      </c>
      <c r="E187" s="9" t="n">
        <v>5</v>
      </c>
      <c r="F187" s="10"/>
    </row>
    <row r="188" customFormat="false" ht="15" hidden="false" customHeight="false" outlineLevel="0" collapsed="false">
      <c r="A188" s="6" t="s">
        <v>134</v>
      </c>
      <c r="B188" s="7" t="s">
        <v>135</v>
      </c>
      <c r="C188" s="7" t="s">
        <v>26</v>
      </c>
      <c r="D188" s="8" t="s">
        <v>30</v>
      </c>
      <c r="E188" s="9" t="n">
        <v>4</v>
      </c>
      <c r="F188" s="10"/>
    </row>
    <row r="189" customFormat="false" ht="15" hidden="false" customHeight="false" outlineLevel="0" collapsed="false">
      <c r="A189" s="6" t="s">
        <v>134</v>
      </c>
      <c r="B189" s="7" t="s">
        <v>135</v>
      </c>
      <c r="C189" s="7" t="s">
        <v>26</v>
      </c>
      <c r="D189" s="8" t="s">
        <v>31</v>
      </c>
      <c r="E189" s="9" t="n">
        <v>4</v>
      </c>
      <c r="F189" s="10"/>
    </row>
    <row r="190" customFormat="false" ht="15" hidden="false" customHeight="false" outlineLevel="0" collapsed="false">
      <c r="A190" s="6" t="s">
        <v>134</v>
      </c>
      <c r="B190" s="7" t="s">
        <v>135</v>
      </c>
      <c r="C190" s="7" t="s">
        <v>26</v>
      </c>
      <c r="D190" s="8" t="s">
        <v>32</v>
      </c>
      <c r="E190" s="9" t="n">
        <v>4</v>
      </c>
      <c r="F190" s="10"/>
    </row>
    <row r="191" customFormat="false" ht="15" hidden="false" customHeight="false" outlineLevel="0" collapsed="false">
      <c r="A191" s="6" t="s">
        <v>134</v>
      </c>
      <c r="B191" s="7" t="s">
        <v>135</v>
      </c>
      <c r="C191" s="7" t="s">
        <v>26</v>
      </c>
      <c r="D191" s="8" t="s">
        <v>33</v>
      </c>
      <c r="E191" s="9" t="n">
        <v>4</v>
      </c>
      <c r="F191" s="10"/>
    </row>
    <row r="192" customFormat="false" ht="15" hidden="false" customHeight="false" outlineLevel="0" collapsed="false">
      <c r="A192" s="6" t="s">
        <v>134</v>
      </c>
      <c r="B192" s="7" t="s">
        <v>135</v>
      </c>
      <c r="C192" s="7" t="s">
        <v>26</v>
      </c>
      <c r="D192" s="8" t="s">
        <v>34</v>
      </c>
      <c r="E192" s="9" t="n">
        <v>4</v>
      </c>
      <c r="F192" s="10"/>
    </row>
    <row r="193" customFormat="false" ht="15" hidden="false" customHeight="false" outlineLevel="0" collapsed="false">
      <c r="A193" s="6" t="s">
        <v>134</v>
      </c>
      <c r="B193" s="7" t="s">
        <v>135</v>
      </c>
      <c r="C193" s="7" t="s">
        <v>26</v>
      </c>
      <c r="D193" s="8" t="s">
        <v>65</v>
      </c>
      <c r="E193" s="9" t="n">
        <v>4</v>
      </c>
      <c r="F193" s="10"/>
    </row>
    <row r="194" customFormat="false" ht="29.85" hidden="false" customHeight="false" outlineLevel="0" collapsed="false">
      <c r="A194" s="6" t="s">
        <v>134</v>
      </c>
      <c r="B194" s="7" t="s">
        <v>135</v>
      </c>
      <c r="C194" s="7" t="s">
        <v>26</v>
      </c>
      <c r="D194" s="8" t="s">
        <v>36</v>
      </c>
      <c r="E194" s="9" t="n">
        <v>3</v>
      </c>
      <c r="F194" s="8" t="s">
        <v>137</v>
      </c>
    </row>
    <row r="195" customFormat="false" ht="15" hidden="false" customHeight="false" outlineLevel="0" collapsed="false">
      <c r="A195" s="11" t="s">
        <v>134</v>
      </c>
      <c r="B195" s="12" t="s">
        <v>135</v>
      </c>
      <c r="C195" s="12" t="s">
        <v>38</v>
      </c>
      <c r="D195" s="13" t="s">
        <v>39</v>
      </c>
      <c r="E195" s="14" t="n">
        <v>5</v>
      </c>
      <c r="F195" s="13"/>
    </row>
    <row r="196" customFormat="false" ht="15" hidden="false" customHeight="false" outlineLevel="0" collapsed="false">
      <c r="A196" s="11" t="s">
        <v>134</v>
      </c>
      <c r="B196" s="12" t="s">
        <v>135</v>
      </c>
      <c r="C196" s="12" t="s">
        <v>38</v>
      </c>
      <c r="D196" s="15" t="s">
        <v>40</v>
      </c>
      <c r="E196" s="14" t="n">
        <v>5</v>
      </c>
      <c r="F196" s="13"/>
    </row>
    <row r="197" customFormat="false" ht="15" hidden="false" customHeight="false" outlineLevel="0" collapsed="false">
      <c r="A197" s="11" t="s">
        <v>134</v>
      </c>
      <c r="B197" s="12" t="s">
        <v>135</v>
      </c>
      <c r="C197" s="12" t="s">
        <v>38</v>
      </c>
      <c r="D197" s="15" t="s">
        <v>138</v>
      </c>
      <c r="E197" s="14" t="n">
        <v>5</v>
      </c>
      <c r="F197" s="15" t="s">
        <v>42</v>
      </c>
    </row>
    <row r="198" customFormat="false" ht="15" hidden="false" customHeight="false" outlineLevel="0" collapsed="false">
      <c r="A198" s="11" t="s">
        <v>134</v>
      </c>
      <c r="B198" s="12" t="s">
        <v>135</v>
      </c>
      <c r="C198" s="12" t="s">
        <v>38</v>
      </c>
      <c r="D198" s="15" t="s">
        <v>43</v>
      </c>
      <c r="E198" s="14" t="n">
        <v>5</v>
      </c>
      <c r="F198" s="13"/>
    </row>
    <row r="199" customFormat="false" ht="44" hidden="false" customHeight="false" outlineLevel="0" collapsed="false">
      <c r="A199" s="16" t="s">
        <v>134</v>
      </c>
      <c r="B199" s="17" t="s">
        <v>135</v>
      </c>
      <c r="C199" s="16" t="s">
        <v>44</v>
      </c>
      <c r="D199" s="18" t="s">
        <v>45</v>
      </c>
      <c r="E199" s="19" t="n">
        <v>4</v>
      </c>
      <c r="F199" s="18" t="s">
        <v>46</v>
      </c>
    </row>
    <row r="200" customFormat="false" ht="29.85" hidden="false" customHeight="false" outlineLevel="0" collapsed="false">
      <c r="A200" s="16" t="s">
        <v>134</v>
      </c>
      <c r="B200" s="17" t="s">
        <v>135</v>
      </c>
      <c r="C200" s="16" t="s">
        <v>44</v>
      </c>
      <c r="D200" s="18" t="s">
        <v>47</v>
      </c>
      <c r="E200" s="19" t="n">
        <v>3</v>
      </c>
      <c r="F200" s="18" t="s">
        <v>48</v>
      </c>
    </row>
    <row r="201" customFormat="false" ht="58.2" hidden="false" customHeight="false" outlineLevel="0" collapsed="false">
      <c r="A201" s="16" t="s">
        <v>134</v>
      </c>
      <c r="B201" s="17" t="s">
        <v>135</v>
      </c>
      <c r="C201" s="16" t="s">
        <v>44</v>
      </c>
      <c r="D201" s="18" t="s">
        <v>49</v>
      </c>
      <c r="E201" s="19" t="n">
        <v>4</v>
      </c>
      <c r="F201" s="18" t="s">
        <v>139</v>
      </c>
    </row>
    <row r="202" customFormat="false" ht="58.2" hidden="false" customHeight="false" outlineLevel="0" collapsed="false">
      <c r="A202" s="16" t="s">
        <v>134</v>
      </c>
      <c r="B202" s="17" t="s">
        <v>135</v>
      </c>
      <c r="C202" s="16" t="s">
        <v>44</v>
      </c>
      <c r="D202" s="18" t="s">
        <v>51</v>
      </c>
      <c r="E202" s="19" t="n">
        <v>4</v>
      </c>
      <c r="F202" s="18" t="s">
        <v>140</v>
      </c>
    </row>
    <row r="203" customFormat="false" ht="29.85" hidden="false" customHeight="false" outlineLevel="0" collapsed="false">
      <c r="A203" s="16" t="s">
        <v>134</v>
      </c>
      <c r="B203" s="17" t="s">
        <v>135</v>
      </c>
      <c r="C203" s="16" t="s">
        <v>44</v>
      </c>
      <c r="D203" s="18" t="s">
        <v>53</v>
      </c>
      <c r="E203" s="19" t="n">
        <v>3</v>
      </c>
      <c r="F203" s="18" t="s">
        <v>54</v>
      </c>
    </row>
    <row r="204" customFormat="false" ht="44" hidden="false" customHeight="false" outlineLevel="0" collapsed="false">
      <c r="A204" s="16" t="s">
        <v>134</v>
      </c>
      <c r="B204" s="17" t="s">
        <v>135</v>
      </c>
      <c r="C204" s="16" t="s">
        <v>44</v>
      </c>
      <c r="D204" s="18" t="s">
        <v>55</v>
      </c>
      <c r="E204" s="19" t="n">
        <v>2</v>
      </c>
      <c r="F204" s="18" t="s">
        <v>56</v>
      </c>
    </row>
    <row r="205" customFormat="false" ht="15" hidden="false" customHeight="false" outlineLevel="0" collapsed="false">
      <c r="A205" s="20" t="s">
        <v>134</v>
      </c>
      <c r="B205" s="21" t="s">
        <v>135</v>
      </c>
      <c r="C205" s="21" t="s">
        <v>57</v>
      </c>
      <c r="D205" s="22" t="s">
        <v>141</v>
      </c>
      <c r="E205" s="23" t="n">
        <v>6</v>
      </c>
      <c r="F205" s="22"/>
    </row>
    <row r="206" customFormat="false" ht="15" hidden="false" customHeight="false" outlineLevel="0" collapsed="false">
      <c r="A206" s="20" t="s">
        <v>134</v>
      </c>
      <c r="B206" s="21" t="s">
        <v>135</v>
      </c>
      <c r="C206" s="21" t="s">
        <v>57</v>
      </c>
      <c r="D206" s="22" t="s">
        <v>142</v>
      </c>
      <c r="E206" s="23" t="n">
        <v>3</v>
      </c>
      <c r="F206" s="22"/>
    </row>
    <row r="207" customFormat="false" ht="44" hidden="false" customHeight="false" outlineLevel="0" collapsed="false">
      <c r="A207" s="20" t="s">
        <v>134</v>
      </c>
      <c r="B207" s="21" t="s">
        <v>135</v>
      </c>
      <c r="C207" s="21" t="s">
        <v>57</v>
      </c>
      <c r="D207" s="24" t="s">
        <v>143</v>
      </c>
      <c r="E207" s="23" t="n">
        <v>6</v>
      </c>
      <c r="F207" s="22"/>
    </row>
    <row r="208" customFormat="false" ht="29.85" hidden="false" customHeight="false" outlineLevel="0" collapsed="false">
      <c r="A208" s="20" t="s">
        <v>134</v>
      </c>
      <c r="B208" s="21" t="s">
        <v>135</v>
      </c>
      <c r="C208" s="21" t="s">
        <v>57</v>
      </c>
      <c r="D208" s="24" t="s">
        <v>144</v>
      </c>
      <c r="E208" s="23" t="n">
        <v>5</v>
      </c>
      <c r="F208" s="22"/>
    </row>
    <row r="209" customFormat="false" ht="15" hidden="false" customHeight="false" outlineLevel="0" collapsed="false">
      <c r="A209" s="6" t="s">
        <v>145</v>
      </c>
      <c r="B209" s="7" t="s">
        <v>146</v>
      </c>
      <c r="C209" s="7" t="s">
        <v>26</v>
      </c>
      <c r="D209" s="8" t="s">
        <v>147</v>
      </c>
      <c r="E209" s="9" t="n">
        <v>8</v>
      </c>
      <c r="F209" s="8" t="s">
        <v>28</v>
      </c>
    </row>
    <row r="210" customFormat="false" ht="15" hidden="false" customHeight="false" outlineLevel="0" collapsed="false">
      <c r="A210" s="6" t="s">
        <v>145</v>
      </c>
      <c r="B210" s="7" t="s">
        <v>146</v>
      </c>
      <c r="C210" s="7" t="s">
        <v>26</v>
      </c>
      <c r="D210" s="10" t="s">
        <v>29</v>
      </c>
      <c r="E210" s="9" t="n">
        <v>5</v>
      </c>
      <c r="F210" s="10"/>
    </row>
    <row r="211" customFormat="false" ht="15" hidden="false" customHeight="false" outlineLevel="0" collapsed="false">
      <c r="A211" s="6" t="s">
        <v>145</v>
      </c>
      <c r="B211" s="7" t="s">
        <v>146</v>
      </c>
      <c r="C211" s="7" t="s">
        <v>26</v>
      </c>
      <c r="D211" s="8" t="s">
        <v>30</v>
      </c>
      <c r="E211" s="9" t="n">
        <v>4</v>
      </c>
      <c r="F211" s="10"/>
    </row>
    <row r="212" customFormat="false" ht="15" hidden="false" customHeight="false" outlineLevel="0" collapsed="false">
      <c r="A212" s="6" t="s">
        <v>145</v>
      </c>
      <c r="B212" s="7" t="s">
        <v>146</v>
      </c>
      <c r="C212" s="7" t="s">
        <v>26</v>
      </c>
      <c r="D212" s="8" t="s">
        <v>31</v>
      </c>
      <c r="E212" s="9" t="n">
        <v>4</v>
      </c>
      <c r="F212" s="10"/>
    </row>
    <row r="213" customFormat="false" ht="15" hidden="false" customHeight="false" outlineLevel="0" collapsed="false">
      <c r="A213" s="6" t="s">
        <v>145</v>
      </c>
      <c r="B213" s="7" t="s">
        <v>146</v>
      </c>
      <c r="C213" s="7" t="s">
        <v>26</v>
      </c>
      <c r="D213" s="8" t="s">
        <v>32</v>
      </c>
      <c r="E213" s="9" t="n">
        <v>4</v>
      </c>
      <c r="F213" s="10"/>
    </row>
    <row r="214" customFormat="false" ht="15" hidden="false" customHeight="false" outlineLevel="0" collapsed="false">
      <c r="A214" s="6" t="s">
        <v>145</v>
      </c>
      <c r="B214" s="7" t="s">
        <v>146</v>
      </c>
      <c r="C214" s="7" t="s">
        <v>26</v>
      </c>
      <c r="D214" s="8" t="s">
        <v>33</v>
      </c>
      <c r="E214" s="9" t="n">
        <v>4</v>
      </c>
      <c r="F214" s="10"/>
    </row>
    <row r="215" customFormat="false" ht="15" hidden="false" customHeight="false" outlineLevel="0" collapsed="false">
      <c r="A215" s="6" t="s">
        <v>145</v>
      </c>
      <c r="B215" s="7" t="s">
        <v>146</v>
      </c>
      <c r="C215" s="7" t="s">
        <v>26</v>
      </c>
      <c r="D215" s="8" t="s">
        <v>34</v>
      </c>
      <c r="E215" s="9" t="n">
        <v>4</v>
      </c>
      <c r="F215" s="10"/>
    </row>
    <row r="216" customFormat="false" ht="15" hidden="false" customHeight="false" outlineLevel="0" collapsed="false">
      <c r="A216" s="6" t="s">
        <v>145</v>
      </c>
      <c r="B216" s="7" t="s">
        <v>146</v>
      </c>
      <c r="C216" s="7" t="s">
        <v>26</v>
      </c>
      <c r="D216" s="8" t="s">
        <v>65</v>
      </c>
      <c r="E216" s="9" t="n">
        <v>4</v>
      </c>
      <c r="F216" s="10"/>
    </row>
    <row r="217" customFormat="false" ht="29.85" hidden="false" customHeight="false" outlineLevel="0" collapsed="false">
      <c r="A217" s="6" t="s">
        <v>145</v>
      </c>
      <c r="B217" s="7" t="s">
        <v>146</v>
      </c>
      <c r="C217" s="7" t="s">
        <v>26</v>
      </c>
      <c r="D217" s="8" t="s">
        <v>36</v>
      </c>
      <c r="E217" s="9" t="n">
        <v>3</v>
      </c>
      <c r="F217" s="8" t="s">
        <v>148</v>
      </c>
    </row>
    <row r="218" customFormat="false" ht="15" hidden="false" customHeight="false" outlineLevel="0" collapsed="false">
      <c r="A218" s="11" t="s">
        <v>145</v>
      </c>
      <c r="B218" s="12" t="s">
        <v>146</v>
      </c>
      <c r="C218" s="12" t="s">
        <v>38</v>
      </c>
      <c r="D218" s="13" t="s">
        <v>39</v>
      </c>
      <c r="E218" s="14" t="n">
        <v>5</v>
      </c>
      <c r="F218" s="13"/>
    </row>
    <row r="219" customFormat="false" ht="15" hidden="false" customHeight="false" outlineLevel="0" collapsed="false">
      <c r="A219" s="11" t="s">
        <v>145</v>
      </c>
      <c r="B219" s="12" t="s">
        <v>146</v>
      </c>
      <c r="C219" s="12" t="s">
        <v>38</v>
      </c>
      <c r="D219" s="15" t="s">
        <v>40</v>
      </c>
      <c r="E219" s="14" t="n">
        <v>5</v>
      </c>
      <c r="F219" s="13"/>
    </row>
    <row r="220" customFormat="false" ht="15" hidden="false" customHeight="false" outlineLevel="0" collapsed="false">
      <c r="A220" s="11" t="s">
        <v>145</v>
      </c>
      <c r="B220" s="12" t="s">
        <v>146</v>
      </c>
      <c r="C220" s="12" t="s">
        <v>38</v>
      </c>
      <c r="D220" s="13" t="s">
        <v>116</v>
      </c>
      <c r="E220" s="14" t="n">
        <v>5</v>
      </c>
      <c r="F220" s="15" t="s">
        <v>42</v>
      </c>
    </row>
    <row r="221" customFormat="false" ht="15" hidden="false" customHeight="false" outlineLevel="0" collapsed="false">
      <c r="A221" s="11" t="s">
        <v>145</v>
      </c>
      <c r="B221" s="12" t="s">
        <v>146</v>
      </c>
      <c r="C221" s="12" t="s">
        <v>38</v>
      </c>
      <c r="D221" s="15" t="s">
        <v>43</v>
      </c>
      <c r="E221" s="14" t="n">
        <v>5</v>
      </c>
      <c r="F221" s="13"/>
    </row>
    <row r="222" customFormat="false" ht="44" hidden="false" customHeight="false" outlineLevel="0" collapsed="false">
      <c r="A222" s="16" t="s">
        <v>145</v>
      </c>
      <c r="B222" s="17" t="s">
        <v>146</v>
      </c>
      <c r="C222" s="16" t="s">
        <v>44</v>
      </c>
      <c r="D222" s="18" t="s">
        <v>45</v>
      </c>
      <c r="E222" s="19" t="n">
        <v>4</v>
      </c>
      <c r="F222" s="18" t="s">
        <v>46</v>
      </c>
    </row>
    <row r="223" customFormat="false" ht="29.85" hidden="false" customHeight="false" outlineLevel="0" collapsed="false">
      <c r="A223" s="16" t="s">
        <v>145</v>
      </c>
      <c r="B223" s="17" t="s">
        <v>146</v>
      </c>
      <c r="C223" s="16" t="s">
        <v>44</v>
      </c>
      <c r="D223" s="18" t="s">
        <v>47</v>
      </c>
      <c r="E223" s="19" t="n">
        <v>3</v>
      </c>
      <c r="F223" s="18" t="s">
        <v>48</v>
      </c>
    </row>
    <row r="224" customFormat="false" ht="58.2" hidden="false" customHeight="false" outlineLevel="0" collapsed="false">
      <c r="A224" s="16" t="s">
        <v>145</v>
      </c>
      <c r="B224" s="17" t="s">
        <v>146</v>
      </c>
      <c r="C224" s="16" t="s">
        <v>44</v>
      </c>
      <c r="D224" s="18" t="s">
        <v>49</v>
      </c>
      <c r="E224" s="19" t="n">
        <v>4</v>
      </c>
      <c r="F224" s="18" t="s">
        <v>149</v>
      </c>
    </row>
    <row r="225" customFormat="false" ht="58.2" hidden="false" customHeight="false" outlineLevel="0" collapsed="false">
      <c r="A225" s="16" t="s">
        <v>145</v>
      </c>
      <c r="B225" s="17" t="s">
        <v>146</v>
      </c>
      <c r="C225" s="16" t="s">
        <v>44</v>
      </c>
      <c r="D225" s="18" t="s">
        <v>51</v>
      </c>
      <c r="E225" s="19" t="n">
        <v>4</v>
      </c>
      <c r="F225" s="18" t="s">
        <v>150</v>
      </c>
    </row>
    <row r="226" customFormat="false" ht="29.85" hidden="false" customHeight="false" outlineLevel="0" collapsed="false">
      <c r="A226" s="16" t="s">
        <v>145</v>
      </c>
      <c r="B226" s="17" t="s">
        <v>146</v>
      </c>
      <c r="C226" s="16" t="s">
        <v>44</v>
      </c>
      <c r="D226" s="18" t="s">
        <v>53</v>
      </c>
      <c r="E226" s="19" t="n">
        <v>3</v>
      </c>
      <c r="F226" s="18" t="s">
        <v>54</v>
      </c>
    </row>
    <row r="227" customFormat="false" ht="44" hidden="false" customHeight="false" outlineLevel="0" collapsed="false">
      <c r="A227" s="16" t="s">
        <v>145</v>
      </c>
      <c r="B227" s="17" t="s">
        <v>146</v>
      </c>
      <c r="C227" s="16" t="s">
        <v>44</v>
      </c>
      <c r="D227" s="18" t="s">
        <v>55</v>
      </c>
      <c r="E227" s="19" t="n">
        <v>2</v>
      </c>
      <c r="F227" s="18" t="s">
        <v>56</v>
      </c>
    </row>
    <row r="228" customFormat="false" ht="15" hidden="false" customHeight="false" outlineLevel="0" collapsed="false">
      <c r="A228" s="20" t="s">
        <v>145</v>
      </c>
      <c r="B228" s="21" t="s">
        <v>146</v>
      </c>
      <c r="C228" s="21" t="s">
        <v>57</v>
      </c>
      <c r="D228" s="22" t="s">
        <v>151</v>
      </c>
      <c r="E228" s="23" t="n">
        <v>6</v>
      </c>
      <c r="F228" s="22"/>
    </row>
    <row r="229" customFormat="false" ht="15" hidden="false" customHeight="false" outlineLevel="0" collapsed="false">
      <c r="A229" s="20" t="s">
        <v>145</v>
      </c>
      <c r="B229" s="21" t="s">
        <v>146</v>
      </c>
      <c r="C229" s="21" t="s">
        <v>57</v>
      </c>
      <c r="D229" s="22" t="s">
        <v>152</v>
      </c>
      <c r="E229" s="23" t="n">
        <v>3</v>
      </c>
      <c r="F229" s="22"/>
    </row>
    <row r="230" customFormat="false" ht="29.85" hidden="false" customHeight="false" outlineLevel="0" collapsed="false">
      <c r="A230" s="20" t="s">
        <v>145</v>
      </c>
      <c r="B230" s="21" t="s">
        <v>146</v>
      </c>
      <c r="C230" s="21" t="s">
        <v>57</v>
      </c>
      <c r="D230" s="24" t="s">
        <v>153</v>
      </c>
      <c r="E230" s="23" t="n">
        <v>6</v>
      </c>
      <c r="F230" s="22"/>
    </row>
    <row r="231" customFormat="false" ht="44" hidden="false" customHeight="false" outlineLevel="0" collapsed="false">
      <c r="A231" s="20" t="s">
        <v>145</v>
      </c>
      <c r="B231" s="21" t="s">
        <v>146</v>
      </c>
      <c r="C231" s="21" t="s">
        <v>57</v>
      </c>
      <c r="D231" s="24" t="s">
        <v>154</v>
      </c>
      <c r="E231" s="23" t="n">
        <v>5</v>
      </c>
      <c r="F231" s="22"/>
    </row>
    <row r="232" customFormat="false" ht="15" hidden="false" customHeight="false" outlineLevel="0" collapsed="false">
      <c r="A232" s="6" t="s">
        <v>155</v>
      </c>
      <c r="B232" s="7" t="s">
        <v>156</v>
      </c>
      <c r="C232" s="7" t="s">
        <v>26</v>
      </c>
      <c r="D232" s="8" t="s">
        <v>157</v>
      </c>
      <c r="E232" s="9" t="n">
        <v>8</v>
      </c>
      <c r="F232" s="8" t="s">
        <v>28</v>
      </c>
    </row>
    <row r="233" customFormat="false" ht="15" hidden="false" customHeight="false" outlineLevel="0" collapsed="false">
      <c r="A233" s="6" t="s">
        <v>155</v>
      </c>
      <c r="B233" s="7" t="s">
        <v>156</v>
      </c>
      <c r="C233" s="7" t="s">
        <v>26</v>
      </c>
      <c r="D233" s="10" t="s">
        <v>29</v>
      </c>
      <c r="E233" s="9" t="n">
        <v>5</v>
      </c>
      <c r="F233" s="10"/>
    </row>
    <row r="234" customFormat="false" ht="15" hidden="false" customHeight="false" outlineLevel="0" collapsed="false">
      <c r="A234" s="6" t="s">
        <v>155</v>
      </c>
      <c r="B234" s="7" t="s">
        <v>156</v>
      </c>
      <c r="C234" s="7" t="s">
        <v>26</v>
      </c>
      <c r="D234" s="8" t="s">
        <v>30</v>
      </c>
      <c r="E234" s="9" t="n">
        <v>4</v>
      </c>
      <c r="F234" s="10"/>
    </row>
    <row r="235" customFormat="false" ht="15" hidden="false" customHeight="false" outlineLevel="0" collapsed="false">
      <c r="A235" s="6" t="s">
        <v>155</v>
      </c>
      <c r="B235" s="7" t="s">
        <v>156</v>
      </c>
      <c r="C235" s="7" t="s">
        <v>26</v>
      </c>
      <c r="D235" s="8" t="s">
        <v>31</v>
      </c>
      <c r="E235" s="9" t="n">
        <v>4</v>
      </c>
      <c r="F235" s="10"/>
    </row>
    <row r="236" customFormat="false" ht="15" hidden="false" customHeight="false" outlineLevel="0" collapsed="false">
      <c r="A236" s="6" t="s">
        <v>155</v>
      </c>
      <c r="B236" s="7" t="s">
        <v>156</v>
      </c>
      <c r="C236" s="7" t="s">
        <v>26</v>
      </c>
      <c r="D236" s="8" t="s">
        <v>32</v>
      </c>
      <c r="E236" s="9" t="n">
        <v>4</v>
      </c>
      <c r="F236" s="10"/>
    </row>
    <row r="237" customFormat="false" ht="15" hidden="false" customHeight="false" outlineLevel="0" collapsed="false">
      <c r="A237" s="6" t="s">
        <v>155</v>
      </c>
      <c r="B237" s="7" t="s">
        <v>156</v>
      </c>
      <c r="C237" s="7" t="s">
        <v>26</v>
      </c>
      <c r="D237" s="8" t="s">
        <v>33</v>
      </c>
      <c r="E237" s="9" t="n">
        <v>4</v>
      </c>
      <c r="F237" s="10"/>
    </row>
    <row r="238" customFormat="false" ht="15" hidden="false" customHeight="false" outlineLevel="0" collapsed="false">
      <c r="A238" s="6" t="s">
        <v>155</v>
      </c>
      <c r="B238" s="7" t="s">
        <v>156</v>
      </c>
      <c r="C238" s="7" t="s">
        <v>26</v>
      </c>
      <c r="D238" s="8" t="s">
        <v>34</v>
      </c>
      <c r="E238" s="9" t="n">
        <v>4</v>
      </c>
      <c r="F238" s="10"/>
    </row>
    <row r="239" customFormat="false" ht="15" hidden="false" customHeight="false" outlineLevel="0" collapsed="false">
      <c r="A239" s="6" t="s">
        <v>155</v>
      </c>
      <c r="B239" s="7" t="s">
        <v>156</v>
      </c>
      <c r="C239" s="7" t="s">
        <v>26</v>
      </c>
      <c r="D239" s="8" t="s">
        <v>35</v>
      </c>
      <c r="E239" s="9" t="n">
        <v>4</v>
      </c>
      <c r="F239" s="10"/>
    </row>
    <row r="240" customFormat="false" ht="29.85" hidden="false" customHeight="false" outlineLevel="0" collapsed="false">
      <c r="A240" s="6" t="s">
        <v>155</v>
      </c>
      <c r="B240" s="7" t="s">
        <v>156</v>
      </c>
      <c r="C240" s="7" t="s">
        <v>26</v>
      </c>
      <c r="D240" s="8" t="s">
        <v>36</v>
      </c>
      <c r="E240" s="9" t="n">
        <v>3</v>
      </c>
      <c r="F240" s="8" t="s">
        <v>158</v>
      </c>
    </row>
    <row r="241" customFormat="false" ht="15" hidden="false" customHeight="false" outlineLevel="0" collapsed="false">
      <c r="A241" s="11" t="s">
        <v>155</v>
      </c>
      <c r="B241" s="12" t="s">
        <v>156</v>
      </c>
      <c r="C241" s="12" t="s">
        <v>38</v>
      </c>
      <c r="D241" s="13" t="s">
        <v>39</v>
      </c>
      <c r="E241" s="14" t="n">
        <v>5</v>
      </c>
      <c r="F241" s="13"/>
    </row>
    <row r="242" customFormat="false" ht="15" hidden="false" customHeight="false" outlineLevel="0" collapsed="false">
      <c r="A242" s="11" t="s">
        <v>155</v>
      </c>
      <c r="B242" s="12" t="s">
        <v>156</v>
      </c>
      <c r="C242" s="12" t="s">
        <v>38</v>
      </c>
      <c r="D242" s="15" t="s">
        <v>40</v>
      </c>
      <c r="E242" s="14" t="n">
        <v>5</v>
      </c>
      <c r="F242" s="13"/>
    </row>
    <row r="243" customFormat="false" ht="15" hidden="false" customHeight="false" outlineLevel="0" collapsed="false">
      <c r="A243" s="11" t="s">
        <v>155</v>
      </c>
      <c r="B243" s="12" t="s">
        <v>156</v>
      </c>
      <c r="C243" s="12" t="s">
        <v>38</v>
      </c>
      <c r="D243" s="13" t="s">
        <v>159</v>
      </c>
      <c r="E243" s="14" t="n">
        <v>5</v>
      </c>
      <c r="F243" s="15" t="s">
        <v>42</v>
      </c>
    </row>
    <row r="244" customFormat="false" ht="15" hidden="false" customHeight="false" outlineLevel="0" collapsed="false">
      <c r="A244" s="11" t="s">
        <v>155</v>
      </c>
      <c r="B244" s="12" t="s">
        <v>156</v>
      </c>
      <c r="C244" s="12" t="s">
        <v>38</v>
      </c>
      <c r="D244" s="15" t="s">
        <v>43</v>
      </c>
      <c r="E244" s="14" t="n">
        <v>5</v>
      </c>
      <c r="F244" s="13"/>
    </row>
    <row r="245" customFormat="false" ht="44" hidden="false" customHeight="false" outlineLevel="0" collapsed="false">
      <c r="A245" s="16" t="s">
        <v>155</v>
      </c>
      <c r="B245" s="17" t="s">
        <v>156</v>
      </c>
      <c r="C245" s="16" t="s">
        <v>44</v>
      </c>
      <c r="D245" s="18" t="s">
        <v>45</v>
      </c>
      <c r="E245" s="19" t="n">
        <v>4</v>
      </c>
      <c r="F245" s="18" t="s">
        <v>46</v>
      </c>
    </row>
    <row r="246" customFormat="false" ht="29.85" hidden="false" customHeight="false" outlineLevel="0" collapsed="false">
      <c r="A246" s="16" t="s">
        <v>155</v>
      </c>
      <c r="B246" s="17" t="s">
        <v>156</v>
      </c>
      <c r="C246" s="16" t="s">
        <v>44</v>
      </c>
      <c r="D246" s="18" t="s">
        <v>47</v>
      </c>
      <c r="E246" s="19" t="n">
        <v>3</v>
      </c>
      <c r="F246" s="18" t="s">
        <v>48</v>
      </c>
    </row>
    <row r="247" customFormat="false" ht="58.2" hidden="false" customHeight="false" outlineLevel="0" collapsed="false">
      <c r="A247" s="16" t="s">
        <v>155</v>
      </c>
      <c r="B247" s="17" t="s">
        <v>156</v>
      </c>
      <c r="C247" s="16" t="s">
        <v>44</v>
      </c>
      <c r="D247" s="18" t="s">
        <v>49</v>
      </c>
      <c r="E247" s="19" t="n">
        <v>4</v>
      </c>
      <c r="F247" s="18" t="s">
        <v>160</v>
      </c>
    </row>
    <row r="248" customFormat="false" ht="58.2" hidden="false" customHeight="false" outlineLevel="0" collapsed="false">
      <c r="A248" s="16" t="s">
        <v>155</v>
      </c>
      <c r="B248" s="17" t="s">
        <v>156</v>
      </c>
      <c r="C248" s="16" t="s">
        <v>44</v>
      </c>
      <c r="D248" s="18" t="s">
        <v>51</v>
      </c>
      <c r="E248" s="19" t="n">
        <v>4</v>
      </c>
      <c r="F248" s="18" t="s">
        <v>161</v>
      </c>
    </row>
    <row r="249" customFormat="false" ht="29.85" hidden="false" customHeight="false" outlineLevel="0" collapsed="false">
      <c r="A249" s="16" t="s">
        <v>155</v>
      </c>
      <c r="B249" s="17" t="s">
        <v>156</v>
      </c>
      <c r="C249" s="16" t="s">
        <v>44</v>
      </c>
      <c r="D249" s="18" t="s">
        <v>53</v>
      </c>
      <c r="E249" s="19" t="n">
        <v>3</v>
      </c>
      <c r="F249" s="18" t="s">
        <v>54</v>
      </c>
    </row>
    <row r="250" customFormat="false" ht="44" hidden="false" customHeight="false" outlineLevel="0" collapsed="false">
      <c r="A250" s="16" t="s">
        <v>155</v>
      </c>
      <c r="B250" s="17" t="s">
        <v>156</v>
      </c>
      <c r="C250" s="16" t="s">
        <v>44</v>
      </c>
      <c r="D250" s="18" t="s">
        <v>55</v>
      </c>
      <c r="E250" s="19" t="n">
        <v>2</v>
      </c>
      <c r="F250" s="18" t="s">
        <v>56</v>
      </c>
    </row>
    <row r="251" customFormat="false" ht="15" hidden="false" customHeight="false" outlineLevel="0" collapsed="false">
      <c r="A251" s="20" t="s">
        <v>155</v>
      </c>
      <c r="B251" s="21" t="s">
        <v>156</v>
      </c>
      <c r="C251" s="21" t="s">
        <v>57</v>
      </c>
      <c r="D251" s="22" t="s">
        <v>162</v>
      </c>
      <c r="E251" s="23" t="n">
        <v>6</v>
      </c>
      <c r="F251" s="22"/>
    </row>
    <row r="252" customFormat="false" ht="29.85" hidden="false" customHeight="false" outlineLevel="0" collapsed="false">
      <c r="A252" s="20" t="s">
        <v>155</v>
      </c>
      <c r="B252" s="21" t="s">
        <v>156</v>
      </c>
      <c r="C252" s="21" t="s">
        <v>57</v>
      </c>
      <c r="D252" s="22" t="s">
        <v>163</v>
      </c>
      <c r="E252" s="23" t="n">
        <v>3</v>
      </c>
      <c r="F252" s="22"/>
    </row>
    <row r="253" customFormat="false" ht="44" hidden="false" customHeight="false" outlineLevel="0" collapsed="false">
      <c r="A253" s="20" t="s">
        <v>155</v>
      </c>
      <c r="B253" s="21" t="s">
        <v>156</v>
      </c>
      <c r="C253" s="21" t="s">
        <v>57</v>
      </c>
      <c r="D253" s="24" t="s">
        <v>164</v>
      </c>
      <c r="E253" s="23" t="n">
        <v>6</v>
      </c>
      <c r="F253" s="22"/>
    </row>
    <row r="254" customFormat="false" ht="29.85" hidden="false" customHeight="false" outlineLevel="0" collapsed="false">
      <c r="A254" s="20" t="s">
        <v>155</v>
      </c>
      <c r="B254" s="21" t="s">
        <v>156</v>
      </c>
      <c r="C254" s="21" t="s">
        <v>57</v>
      </c>
      <c r="D254" s="24" t="s">
        <v>165</v>
      </c>
      <c r="E254" s="23" t="n">
        <v>5</v>
      </c>
      <c r="F254" s="22"/>
    </row>
    <row r="255" customFormat="false" ht="15" hidden="false" customHeight="false" outlineLevel="0" collapsed="false">
      <c r="A255" s="6" t="s">
        <v>166</v>
      </c>
      <c r="B255" s="7" t="s">
        <v>167</v>
      </c>
      <c r="C255" s="7" t="s">
        <v>26</v>
      </c>
      <c r="D255" s="8" t="s">
        <v>168</v>
      </c>
      <c r="E255" s="9" t="n">
        <v>8</v>
      </c>
      <c r="F255" s="8" t="s">
        <v>28</v>
      </c>
    </row>
    <row r="256" customFormat="false" ht="15" hidden="false" customHeight="false" outlineLevel="0" collapsed="false">
      <c r="A256" s="6" t="s">
        <v>166</v>
      </c>
      <c r="B256" s="7" t="s">
        <v>167</v>
      </c>
      <c r="C256" s="7" t="s">
        <v>26</v>
      </c>
      <c r="D256" s="10" t="s">
        <v>29</v>
      </c>
      <c r="E256" s="9" t="n">
        <v>5</v>
      </c>
      <c r="F256" s="10"/>
    </row>
    <row r="257" customFormat="false" ht="15" hidden="false" customHeight="false" outlineLevel="0" collapsed="false">
      <c r="A257" s="6" t="s">
        <v>166</v>
      </c>
      <c r="B257" s="7" t="s">
        <v>167</v>
      </c>
      <c r="C257" s="7" t="s">
        <v>26</v>
      </c>
      <c r="D257" s="8" t="s">
        <v>30</v>
      </c>
      <c r="E257" s="9" t="n">
        <v>4</v>
      </c>
      <c r="F257" s="10"/>
    </row>
    <row r="258" customFormat="false" ht="15" hidden="false" customHeight="false" outlineLevel="0" collapsed="false">
      <c r="A258" s="6" t="s">
        <v>166</v>
      </c>
      <c r="B258" s="7" t="s">
        <v>167</v>
      </c>
      <c r="C258" s="7" t="s">
        <v>26</v>
      </c>
      <c r="D258" s="8" t="s">
        <v>31</v>
      </c>
      <c r="E258" s="9" t="n">
        <v>4</v>
      </c>
      <c r="F258" s="10"/>
    </row>
    <row r="259" customFormat="false" ht="15" hidden="false" customHeight="false" outlineLevel="0" collapsed="false">
      <c r="A259" s="6" t="s">
        <v>166</v>
      </c>
      <c r="B259" s="7" t="s">
        <v>167</v>
      </c>
      <c r="C259" s="7" t="s">
        <v>26</v>
      </c>
      <c r="D259" s="8" t="s">
        <v>32</v>
      </c>
      <c r="E259" s="9" t="n">
        <v>4</v>
      </c>
      <c r="F259" s="10"/>
    </row>
    <row r="260" customFormat="false" ht="15" hidden="false" customHeight="false" outlineLevel="0" collapsed="false">
      <c r="A260" s="6" t="s">
        <v>166</v>
      </c>
      <c r="B260" s="7" t="s">
        <v>167</v>
      </c>
      <c r="C260" s="7" t="s">
        <v>26</v>
      </c>
      <c r="D260" s="8" t="s">
        <v>33</v>
      </c>
      <c r="E260" s="9" t="n">
        <v>4</v>
      </c>
      <c r="F260" s="10"/>
    </row>
    <row r="261" customFormat="false" ht="15" hidden="false" customHeight="false" outlineLevel="0" collapsed="false">
      <c r="A261" s="6" t="s">
        <v>166</v>
      </c>
      <c r="B261" s="7" t="s">
        <v>167</v>
      </c>
      <c r="C261" s="7" t="s">
        <v>26</v>
      </c>
      <c r="D261" s="8" t="s">
        <v>34</v>
      </c>
      <c r="E261" s="9" t="n">
        <v>4</v>
      </c>
      <c r="F261" s="10"/>
    </row>
    <row r="262" customFormat="false" ht="15" hidden="false" customHeight="false" outlineLevel="0" collapsed="false">
      <c r="A262" s="6" t="s">
        <v>166</v>
      </c>
      <c r="B262" s="7" t="s">
        <v>167</v>
      </c>
      <c r="C262" s="7" t="s">
        <v>26</v>
      </c>
      <c r="D262" s="8" t="s">
        <v>65</v>
      </c>
      <c r="E262" s="9" t="n">
        <v>4</v>
      </c>
      <c r="F262" s="10"/>
    </row>
    <row r="263" customFormat="false" ht="15" hidden="false" customHeight="false" outlineLevel="0" collapsed="false">
      <c r="A263" s="6" t="s">
        <v>166</v>
      </c>
      <c r="B263" s="7" t="s">
        <v>167</v>
      </c>
      <c r="C263" s="7" t="s">
        <v>26</v>
      </c>
      <c r="D263" s="8" t="s">
        <v>36</v>
      </c>
      <c r="E263" s="9" t="n">
        <v>3</v>
      </c>
      <c r="F263" s="8" t="s">
        <v>115</v>
      </c>
    </row>
    <row r="264" customFormat="false" ht="15" hidden="false" customHeight="false" outlineLevel="0" collapsed="false">
      <c r="A264" s="11" t="s">
        <v>166</v>
      </c>
      <c r="B264" s="12" t="s">
        <v>167</v>
      </c>
      <c r="C264" s="12" t="s">
        <v>38</v>
      </c>
      <c r="D264" s="13" t="s">
        <v>39</v>
      </c>
      <c r="E264" s="14" t="n">
        <v>5</v>
      </c>
      <c r="F264" s="13"/>
    </row>
    <row r="265" customFormat="false" ht="15" hidden="false" customHeight="false" outlineLevel="0" collapsed="false">
      <c r="A265" s="11" t="s">
        <v>166</v>
      </c>
      <c r="B265" s="12" t="s">
        <v>167</v>
      </c>
      <c r="C265" s="12" t="s">
        <v>38</v>
      </c>
      <c r="D265" s="15" t="s">
        <v>40</v>
      </c>
      <c r="E265" s="14" t="n">
        <v>5</v>
      </c>
      <c r="F265" s="13"/>
    </row>
    <row r="266" customFormat="false" ht="15" hidden="false" customHeight="false" outlineLevel="0" collapsed="false">
      <c r="A266" s="11" t="s">
        <v>166</v>
      </c>
      <c r="B266" s="12" t="s">
        <v>167</v>
      </c>
      <c r="C266" s="12" t="s">
        <v>38</v>
      </c>
      <c r="D266" s="13" t="s">
        <v>169</v>
      </c>
      <c r="E266" s="14" t="n">
        <v>5</v>
      </c>
      <c r="F266" s="15" t="s">
        <v>42</v>
      </c>
    </row>
    <row r="267" customFormat="false" ht="15" hidden="false" customHeight="false" outlineLevel="0" collapsed="false">
      <c r="A267" s="11" t="s">
        <v>166</v>
      </c>
      <c r="B267" s="12" t="s">
        <v>167</v>
      </c>
      <c r="C267" s="12" t="s">
        <v>38</v>
      </c>
      <c r="D267" s="15" t="s">
        <v>43</v>
      </c>
      <c r="E267" s="14" t="n">
        <v>5</v>
      </c>
      <c r="F267" s="13"/>
    </row>
    <row r="268" customFormat="false" ht="44" hidden="false" customHeight="false" outlineLevel="0" collapsed="false">
      <c r="A268" s="16" t="s">
        <v>166</v>
      </c>
      <c r="B268" s="17" t="s">
        <v>167</v>
      </c>
      <c r="C268" s="16" t="s">
        <v>44</v>
      </c>
      <c r="D268" s="18" t="s">
        <v>45</v>
      </c>
      <c r="E268" s="19" t="n">
        <v>4</v>
      </c>
      <c r="F268" s="18" t="s">
        <v>46</v>
      </c>
    </row>
    <row r="269" customFormat="false" ht="29.85" hidden="false" customHeight="false" outlineLevel="0" collapsed="false">
      <c r="A269" s="16" t="s">
        <v>166</v>
      </c>
      <c r="B269" s="17" t="s">
        <v>167</v>
      </c>
      <c r="C269" s="16" t="s">
        <v>44</v>
      </c>
      <c r="D269" s="18" t="s">
        <v>47</v>
      </c>
      <c r="E269" s="19" t="n">
        <v>3</v>
      </c>
      <c r="F269" s="18" t="s">
        <v>48</v>
      </c>
    </row>
    <row r="270" customFormat="false" ht="44" hidden="false" customHeight="false" outlineLevel="0" collapsed="false">
      <c r="A270" s="16" t="s">
        <v>166</v>
      </c>
      <c r="B270" s="17" t="s">
        <v>167</v>
      </c>
      <c r="C270" s="16" t="s">
        <v>44</v>
      </c>
      <c r="D270" s="18" t="s">
        <v>49</v>
      </c>
      <c r="E270" s="19" t="n">
        <v>4</v>
      </c>
      <c r="F270" s="18" t="s">
        <v>117</v>
      </c>
    </row>
    <row r="271" customFormat="false" ht="72.35" hidden="false" customHeight="false" outlineLevel="0" collapsed="false">
      <c r="A271" s="16" t="s">
        <v>166</v>
      </c>
      <c r="B271" s="17" t="s">
        <v>167</v>
      </c>
      <c r="C271" s="16" t="s">
        <v>44</v>
      </c>
      <c r="D271" s="18" t="s">
        <v>51</v>
      </c>
      <c r="E271" s="19" t="n">
        <v>4</v>
      </c>
      <c r="F271" s="18" t="s">
        <v>170</v>
      </c>
    </row>
    <row r="272" customFormat="false" ht="29.85" hidden="false" customHeight="false" outlineLevel="0" collapsed="false">
      <c r="A272" s="16" t="s">
        <v>166</v>
      </c>
      <c r="B272" s="17" t="s">
        <v>167</v>
      </c>
      <c r="C272" s="16" t="s">
        <v>44</v>
      </c>
      <c r="D272" s="18" t="s">
        <v>53</v>
      </c>
      <c r="E272" s="19" t="n">
        <v>3</v>
      </c>
      <c r="F272" s="18" t="s">
        <v>54</v>
      </c>
    </row>
    <row r="273" customFormat="false" ht="44" hidden="false" customHeight="false" outlineLevel="0" collapsed="false">
      <c r="A273" s="16" t="s">
        <v>166</v>
      </c>
      <c r="B273" s="17" t="s">
        <v>167</v>
      </c>
      <c r="C273" s="16" t="s">
        <v>44</v>
      </c>
      <c r="D273" s="18" t="s">
        <v>55</v>
      </c>
      <c r="E273" s="19" t="n">
        <v>2</v>
      </c>
      <c r="F273" s="18" t="s">
        <v>56</v>
      </c>
    </row>
    <row r="274" customFormat="false" ht="15" hidden="false" customHeight="false" outlineLevel="0" collapsed="false">
      <c r="A274" s="20" t="s">
        <v>166</v>
      </c>
      <c r="B274" s="21" t="s">
        <v>167</v>
      </c>
      <c r="C274" s="21" t="s">
        <v>57</v>
      </c>
      <c r="D274" s="22" t="s">
        <v>171</v>
      </c>
      <c r="E274" s="23" t="n">
        <v>6</v>
      </c>
      <c r="F274" s="22"/>
    </row>
    <row r="275" customFormat="false" ht="15" hidden="false" customHeight="false" outlineLevel="0" collapsed="false">
      <c r="A275" s="20" t="s">
        <v>166</v>
      </c>
      <c r="B275" s="21" t="s">
        <v>167</v>
      </c>
      <c r="C275" s="21" t="s">
        <v>57</v>
      </c>
      <c r="D275" s="22" t="s">
        <v>172</v>
      </c>
      <c r="E275" s="23" t="n">
        <v>3</v>
      </c>
      <c r="F275" s="22"/>
    </row>
    <row r="276" customFormat="false" ht="15" hidden="false" customHeight="false" outlineLevel="0" collapsed="false">
      <c r="A276" s="20" t="s">
        <v>166</v>
      </c>
      <c r="B276" s="21" t="s">
        <v>167</v>
      </c>
      <c r="C276" s="21" t="s">
        <v>57</v>
      </c>
      <c r="D276" s="24" t="s">
        <v>173</v>
      </c>
      <c r="E276" s="23" t="n">
        <v>6</v>
      </c>
      <c r="F276" s="22"/>
    </row>
    <row r="277" customFormat="false" ht="15" hidden="false" customHeight="false" outlineLevel="0" collapsed="false">
      <c r="A277" s="20" t="s">
        <v>166</v>
      </c>
      <c r="B277" s="21" t="s">
        <v>167</v>
      </c>
      <c r="C277" s="21" t="s">
        <v>57</v>
      </c>
      <c r="D277" s="24" t="s">
        <v>174</v>
      </c>
      <c r="E277" s="23" t="n">
        <v>5</v>
      </c>
      <c r="F277" s="22"/>
    </row>
    <row r="278" customFormat="false" ht="15" hidden="false" customHeight="false" outlineLevel="0" collapsed="false">
      <c r="A278" s="6" t="s">
        <v>175</v>
      </c>
      <c r="B278" s="7" t="s">
        <v>176</v>
      </c>
      <c r="C278" s="7" t="s">
        <v>26</v>
      </c>
      <c r="D278" s="8" t="s">
        <v>177</v>
      </c>
      <c r="E278" s="9" t="n">
        <v>8</v>
      </c>
      <c r="F278" s="8" t="s">
        <v>28</v>
      </c>
    </row>
    <row r="279" customFormat="false" ht="15" hidden="false" customHeight="false" outlineLevel="0" collapsed="false">
      <c r="A279" s="6" t="s">
        <v>175</v>
      </c>
      <c r="B279" s="7" t="s">
        <v>176</v>
      </c>
      <c r="C279" s="7" t="s">
        <v>26</v>
      </c>
      <c r="D279" s="10" t="s">
        <v>29</v>
      </c>
      <c r="E279" s="9" t="n">
        <v>5</v>
      </c>
      <c r="F279" s="10"/>
    </row>
    <row r="280" customFormat="false" ht="15" hidden="false" customHeight="false" outlineLevel="0" collapsed="false">
      <c r="A280" s="6" t="s">
        <v>175</v>
      </c>
      <c r="B280" s="7" t="s">
        <v>176</v>
      </c>
      <c r="C280" s="7" t="s">
        <v>26</v>
      </c>
      <c r="D280" s="8" t="s">
        <v>30</v>
      </c>
      <c r="E280" s="9" t="n">
        <v>4</v>
      </c>
      <c r="F280" s="10"/>
    </row>
    <row r="281" customFormat="false" ht="15" hidden="false" customHeight="false" outlineLevel="0" collapsed="false">
      <c r="A281" s="6" t="s">
        <v>175</v>
      </c>
      <c r="B281" s="7" t="s">
        <v>176</v>
      </c>
      <c r="C281" s="7" t="s">
        <v>26</v>
      </c>
      <c r="D281" s="8" t="s">
        <v>31</v>
      </c>
      <c r="E281" s="9" t="n">
        <v>4</v>
      </c>
      <c r="F281" s="10"/>
    </row>
    <row r="282" customFormat="false" ht="15" hidden="false" customHeight="false" outlineLevel="0" collapsed="false">
      <c r="A282" s="6" t="s">
        <v>175</v>
      </c>
      <c r="B282" s="7" t="s">
        <v>176</v>
      </c>
      <c r="C282" s="7" t="s">
        <v>26</v>
      </c>
      <c r="D282" s="8" t="s">
        <v>32</v>
      </c>
      <c r="E282" s="9" t="n">
        <v>4</v>
      </c>
      <c r="F282" s="10"/>
    </row>
    <row r="283" customFormat="false" ht="15" hidden="false" customHeight="false" outlineLevel="0" collapsed="false">
      <c r="A283" s="6" t="s">
        <v>175</v>
      </c>
      <c r="B283" s="7" t="s">
        <v>176</v>
      </c>
      <c r="C283" s="7" t="s">
        <v>26</v>
      </c>
      <c r="D283" s="8" t="s">
        <v>33</v>
      </c>
      <c r="E283" s="9" t="n">
        <v>4</v>
      </c>
      <c r="F283" s="10"/>
    </row>
    <row r="284" customFormat="false" ht="15" hidden="false" customHeight="false" outlineLevel="0" collapsed="false">
      <c r="A284" s="6" t="s">
        <v>175</v>
      </c>
      <c r="B284" s="7" t="s">
        <v>176</v>
      </c>
      <c r="C284" s="7" t="s">
        <v>26</v>
      </c>
      <c r="D284" s="8" t="s">
        <v>34</v>
      </c>
      <c r="E284" s="9" t="n">
        <v>4</v>
      </c>
      <c r="F284" s="10"/>
    </row>
    <row r="285" customFormat="false" ht="15" hidden="false" customHeight="false" outlineLevel="0" collapsed="false">
      <c r="A285" s="6" t="s">
        <v>175</v>
      </c>
      <c r="B285" s="7" t="s">
        <v>176</v>
      </c>
      <c r="C285" s="7" t="s">
        <v>26</v>
      </c>
      <c r="D285" s="8" t="s">
        <v>65</v>
      </c>
      <c r="E285" s="9" t="n">
        <v>4</v>
      </c>
      <c r="F285" s="10"/>
    </row>
    <row r="286" customFormat="false" ht="15" hidden="false" customHeight="false" outlineLevel="0" collapsed="false">
      <c r="A286" s="6" t="s">
        <v>175</v>
      </c>
      <c r="B286" s="7" t="s">
        <v>176</v>
      </c>
      <c r="C286" s="7" t="s">
        <v>26</v>
      </c>
      <c r="D286" s="8" t="s">
        <v>36</v>
      </c>
      <c r="E286" s="9" t="n">
        <v>3</v>
      </c>
      <c r="F286" s="8" t="s">
        <v>178</v>
      </c>
    </row>
    <row r="287" customFormat="false" ht="15" hidden="false" customHeight="false" outlineLevel="0" collapsed="false">
      <c r="A287" s="11" t="s">
        <v>175</v>
      </c>
      <c r="B287" s="12" t="s">
        <v>176</v>
      </c>
      <c r="C287" s="12" t="s">
        <v>38</v>
      </c>
      <c r="D287" s="13" t="s">
        <v>39</v>
      </c>
      <c r="E287" s="14" t="n">
        <v>5</v>
      </c>
      <c r="F287" s="13"/>
    </row>
    <row r="288" customFormat="false" ht="15" hidden="false" customHeight="false" outlineLevel="0" collapsed="false">
      <c r="A288" s="11" t="s">
        <v>175</v>
      </c>
      <c r="B288" s="12" t="s">
        <v>176</v>
      </c>
      <c r="C288" s="12" t="s">
        <v>38</v>
      </c>
      <c r="D288" s="15" t="s">
        <v>40</v>
      </c>
      <c r="E288" s="14" t="n">
        <v>5</v>
      </c>
      <c r="F288" s="13"/>
    </row>
    <row r="289" customFormat="false" ht="15" hidden="false" customHeight="false" outlineLevel="0" collapsed="false">
      <c r="A289" s="11" t="s">
        <v>175</v>
      </c>
      <c r="B289" s="12" t="s">
        <v>176</v>
      </c>
      <c r="C289" s="12" t="s">
        <v>38</v>
      </c>
      <c r="D289" s="13" t="s">
        <v>179</v>
      </c>
      <c r="E289" s="14" t="n">
        <v>5</v>
      </c>
      <c r="F289" s="15" t="s">
        <v>42</v>
      </c>
    </row>
    <row r="290" customFormat="false" ht="15" hidden="false" customHeight="false" outlineLevel="0" collapsed="false">
      <c r="A290" s="11" t="s">
        <v>175</v>
      </c>
      <c r="B290" s="12" t="s">
        <v>176</v>
      </c>
      <c r="C290" s="12" t="s">
        <v>38</v>
      </c>
      <c r="D290" s="15" t="s">
        <v>43</v>
      </c>
      <c r="E290" s="14" t="n">
        <v>5</v>
      </c>
      <c r="F290" s="13"/>
    </row>
    <row r="291" customFormat="false" ht="44" hidden="false" customHeight="false" outlineLevel="0" collapsed="false">
      <c r="A291" s="16" t="s">
        <v>175</v>
      </c>
      <c r="B291" s="17" t="s">
        <v>176</v>
      </c>
      <c r="C291" s="16" t="s">
        <v>44</v>
      </c>
      <c r="D291" s="18" t="s">
        <v>45</v>
      </c>
      <c r="E291" s="19" t="n">
        <v>4</v>
      </c>
      <c r="F291" s="18" t="s">
        <v>46</v>
      </c>
    </row>
    <row r="292" customFormat="false" ht="29.85" hidden="false" customHeight="false" outlineLevel="0" collapsed="false">
      <c r="A292" s="16" t="s">
        <v>175</v>
      </c>
      <c r="B292" s="17" t="s">
        <v>176</v>
      </c>
      <c r="C292" s="16" t="s">
        <v>44</v>
      </c>
      <c r="D292" s="18" t="s">
        <v>47</v>
      </c>
      <c r="E292" s="19" t="n">
        <v>3</v>
      </c>
      <c r="F292" s="18" t="s">
        <v>48</v>
      </c>
    </row>
    <row r="293" customFormat="false" ht="58.2" hidden="false" customHeight="false" outlineLevel="0" collapsed="false">
      <c r="A293" s="16" t="s">
        <v>175</v>
      </c>
      <c r="B293" s="17" t="s">
        <v>176</v>
      </c>
      <c r="C293" s="16" t="s">
        <v>44</v>
      </c>
      <c r="D293" s="18" t="s">
        <v>49</v>
      </c>
      <c r="E293" s="19" t="n">
        <v>4</v>
      </c>
      <c r="F293" s="18" t="s">
        <v>180</v>
      </c>
    </row>
    <row r="294" customFormat="false" ht="44" hidden="false" customHeight="false" outlineLevel="0" collapsed="false">
      <c r="A294" s="16" t="s">
        <v>175</v>
      </c>
      <c r="B294" s="17" t="s">
        <v>176</v>
      </c>
      <c r="C294" s="16" t="s">
        <v>44</v>
      </c>
      <c r="D294" s="18" t="s">
        <v>51</v>
      </c>
      <c r="E294" s="19" t="n">
        <v>4</v>
      </c>
      <c r="F294" s="18" t="s">
        <v>181</v>
      </c>
    </row>
    <row r="295" customFormat="false" ht="29.85" hidden="false" customHeight="false" outlineLevel="0" collapsed="false">
      <c r="A295" s="16" t="s">
        <v>175</v>
      </c>
      <c r="B295" s="17" t="s">
        <v>176</v>
      </c>
      <c r="C295" s="16" t="s">
        <v>44</v>
      </c>
      <c r="D295" s="18" t="s">
        <v>53</v>
      </c>
      <c r="E295" s="19" t="n">
        <v>3</v>
      </c>
      <c r="F295" s="18" t="s">
        <v>54</v>
      </c>
    </row>
    <row r="296" customFormat="false" ht="44" hidden="false" customHeight="false" outlineLevel="0" collapsed="false">
      <c r="A296" s="16" t="s">
        <v>175</v>
      </c>
      <c r="B296" s="17" t="s">
        <v>176</v>
      </c>
      <c r="C296" s="16" t="s">
        <v>44</v>
      </c>
      <c r="D296" s="18" t="s">
        <v>55</v>
      </c>
      <c r="E296" s="19" t="n">
        <v>2</v>
      </c>
      <c r="F296" s="18" t="s">
        <v>56</v>
      </c>
    </row>
    <row r="297" customFormat="false" ht="15" hidden="false" customHeight="false" outlineLevel="0" collapsed="false">
      <c r="A297" s="20" t="s">
        <v>175</v>
      </c>
      <c r="B297" s="21" t="s">
        <v>176</v>
      </c>
      <c r="C297" s="21" t="s">
        <v>57</v>
      </c>
      <c r="D297" s="22" t="s">
        <v>81</v>
      </c>
      <c r="E297" s="23" t="n">
        <v>6</v>
      </c>
      <c r="F297" s="22"/>
    </row>
    <row r="298" customFormat="false" ht="15" hidden="false" customHeight="false" outlineLevel="0" collapsed="false">
      <c r="A298" s="20" t="s">
        <v>175</v>
      </c>
      <c r="B298" s="21" t="s">
        <v>176</v>
      </c>
      <c r="C298" s="21" t="s">
        <v>57</v>
      </c>
      <c r="D298" s="22" t="s">
        <v>182</v>
      </c>
      <c r="E298" s="23" t="n">
        <v>3</v>
      </c>
      <c r="F298" s="22"/>
    </row>
    <row r="299" customFormat="false" ht="15" hidden="false" customHeight="false" outlineLevel="0" collapsed="false">
      <c r="A299" s="20" t="s">
        <v>175</v>
      </c>
      <c r="B299" s="21" t="s">
        <v>176</v>
      </c>
      <c r="C299" s="21" t="s">
        <v>57</v>
      </c>
      <c r="D299" s="24" t="s">
        <v>183</v>
      </c>
      <c r="E299" s="23" t="n">
        <v>6</v>
      </c>
      <c r="F299" s="22"/>
    </row>
    <row r="300" customFormat="false" ht="15" hidden="false" customHeight="false" outlineLevel="0" collapsed="false">
      <c r="A300" s="20" t="s">
        <v>175</v>
      </c>
      <c r="B300" s="21" t="s">
        <v>176</v>
      </c>
      <c r="C300" s="21" t="s">
        <v>57</v>
      </c>
      <c r="D300" s="24" t="s">
        <v>184</v>
      </c>
      <c r="E300" s="23" t="n">
        <v>5</v>
      </c>
      <c r="F300" s="22"/>
    </row>
    <row r="301" customFormat="false" ht="15" hidden="false" customHeight="false" outlineLevel="0" collapsed="false">
      <c r="A301" s="6" t="s">
        <v>185</v>
      </c>
      <c r="B301" s="7" t="s">
        <v>186</v>
      </c>
      <c r="C301" s="7" t="s">
        <v>26</v>
      </c>
      <c r="D301" s="8" t="s">
        <v>187</v>
      </c>
      <c r="E301" s="9" t="n">
        <v>8</v>
      </c>
      <c r="F301" s="8" t="s">
        <v>28</v>
      </c>
    </row>
    <row r="302" customFormat="false" ht="15" hidden="false" customHeight="false" outlineLevel="0" collapsed="false">
      <c r="A302" s="6" t="s">
        <v>185</v>
      </c>
      <c r="B302" s="7" t="s">
        <v>186</v>
      </c>
      <c r="C302" s="7" t="s">
        <v>26</v>
      </c>
      <c r="D302" s="10" t="s">
        <v>29</v>
      </c>
      <c r="E302" s="9" t="n">
        <v>5</v>
      </c>
      <c r="F302" s="10"/>
    </row>
    <row r="303" customFormat="false" ht="15" hidden="false" customHeight="false" outlineLevel="0" collapsed="false">
      <c r="A303" s="6" t="s">
        <v>185</v>
      </c>
      <c r="B303" s="7" t="s">
        <v>186</v>
      </c>
      <c r="C303" s="7" t="s">
        <v>26</v>
      </c>
      <c r="D303" s="8" t="s">
        <v>30</v>
      </c>
      <c r="E303" s="9" t="n">
        <v>4</v>
      </c>
      <c r="F303" s="10"/>
    </row>
    <row r="304" customFormat="false" ht="15" hidden="false" customHeight="false" outlineLevel="0" collapsed="false">
      <c r="A304" s="6" t="s">
        <v>185</v>
      </c>
      <c r="B304" s="7" t="s">
        <v>186</v>
      </c>
      <c r="C304" s="7" t="s">
        <v>26</v>
      </c>
      <c r="D304" s="8" t="s">
        <v>31</v>
      </c>
      <c r="E304" s="9" t="n">
        <v>4</v>
      </c>
      <c r="F304" s="10"/>
    </row>
    <row r="305" customFormat="false" ht="15" hidden="false" customHeight="false" outlineLevel="0" collapsed="false">
      <c r="A305" s="6" t="s">
        <v>185</v>
      </c>
      <c r="B305" s="7" t="s">
        <v>186</v>
      </c>
      <c r="C305" s="7" t="s">
        <v>26</v>
      </c>
      <c r="D305" s="8" t="s">
        <v>32</v>
      </c>
      <c r="E305" s="9" t="n">
        <v>4</v>
      </c>
      <c r="F305" s="10"/>
    </row>
    <row r="306" customFormat="false" ht="15" hidden="false" customHeight="false" outlineLevel="0" collapsed="false">
      <c r="A306" s="6" t="s">
        <v>185</v>
      </c>
      <c r="B306" s="7" t="s">
        <v>186</v>
      </c>
      <c r="C306" s="7" t="s">
        <v>26</v>
      </c>
      <c r="D306" s="8" t="s">
        <v>33</v>
      </c>
      <c r="E306" s="9" t="n">
        <v>4</v>
      </c>
      <c r="F306" s="10"/>
    </row>
    <row r="307" customFormat="false" ht="15" hidden="false" customHeight="false" outlineLevel="0" collapsed="false">
      <c r="A307" s="6" t="s">
        <v>185</v>
      </c>
      <c r="B307" s="7" t="s">
        <v>186</v>
      </c>
      <c r="C307" s="7" t="s">
        <v>26</v>
      </c>
      <c r="D307" s="8" t="s">
        <v>34</v>
      </c>
      <c r="E307" s="9" t="n">
        <v>4</v>
      </c>
      <c r="F307" s="10"/>
    </row>
    <row r="308" customFormat="false" ht="15" hidden="false" customHeight="false" outlineLevel="0" collapsed="false">
      <c r="A308" s="6" t="s">
        <v>185</v>
      </c>
      <c r="B308" s="7" t="s">
        <v>186</v>
      </c>
      <c r="C308" s="7" t="s">
        <v>26</v>
      </c>
      <c r="D308" s="8" t="s">
        <v>65</v>
      </c>
      <c r="E308" s="9" t="n">
        <v>4</v>
      </c>
      <c r="F308" s="10"/>
    </row>
    <row r="309" customFormat="false" ht="15" hidden="false" customHeight="false" outlineLevel="0" collapsed="false">
      <c r="A309" s="6" t="s">
        <v>185</v>
      </c>
      <c r="B309" s="7" t="s">
        <v>186</v>
      </c>
      <c r="C309" s="7" t="s">
        <v>26</v>
      </c>
      <c r="D309" s="8" t="s">
        <v>36</v>
      </c>
      <c r="E309" s="9" t="n">
        <v>3</v>
      </c>
      <c r="F309" s="8" t="s">
        <v>37</v>
      </c>
    </row>
    <row r="310" customFormat="false" ht="15" hidden="false" customHeight="false" outlineLevel="0" collapsed="false">
      <c r="A310" s="11" t="s">
        <v>185</v>
      </c>
      <c r="B310" s="12" t="s">
        <v>186</v>
      </c>
      <c r="C310" s="12" t="s">
        <v>38</v>
      </c>
      <c r="D310" s="13" t="s">
        <v>39</v>
      </c>
      <c r="E310" s="14" t="n">
        <v>5</v>
      </c>
      <c r="F310" s="13"/>
    </row>
    <row r="311" customFormat="false" ht="15" hidden="false" customHeight="false" outlineLevel="0" collapsed="false">
      <c r="A311" s="11" t="s">
        <v>185</v>
      </c>
      <c r="B311" s="12" t="s">
        <v>186</v>
      </c>
      <c r="C311" s="12" t="s">
        <v>38</v>
      </c>
      <c r="D311" s="15" t="s">
        <v>40</v>
      </c>
      <c r="E311" s="14" t="n">
        <v>5</v>
      </c>
      <c r="F311" s="13"/>
    </row>
    <row r="312" customFormat="false" ht="15" hidden="false" customHeight="false" outlineLevel="0" collapsed="false">
      <c r="A312" s="11" t="s">
        <v>185</v>
      </c>
      <c r="B312" s="12" t="s">
        <v>186</v>
      </c>
      <c r="C312" s="12" t="s">
        <v>38</v>
      </c>
      <c r="D312" s="15" t="s">
        <v>188</v>
      </c>
      <c r="E312" s="14" t="n">
        <v>5</v>
      </c>
      <c r="F312" s="15" t="s">
        <v>42</v>
      </c>
    </row>
    <row r="313" customFormat="false" ht="15" hidden="false" customHeight="false" outlineLevel="0" collapsed="false">
      <c r="A313" s="11" t="s">
        <v>185</v>
      </c>
      <c r="B313" s="12" t="s">
        <v>186</v>
      </c>
      <c r="C313" s="12" t="s">
        <v>38</v>
      </c>
      <c r="D313" s="15" t="s">
        <v>43</v>
      </c>
      <c r="E313" s="14" t="n">
        <v>5</v>
      </c>
      <c r="F313" s="13"/>
    </row>
    <row r="314" customFormat="false" ht="44" hidden="false" customHeight="false" outlineLevel="0" collapsed="false">
      <c r="A314" s="16" t="s">
        <v>185</v>
      </c>
      <c r="B314" s="17" t="s">
        <v>186</v>
      </c>
      <c r="C314" s="16" t="s">
        <v>44</v>
      </c>
      <c r="D314" s="18" t="s">
        <v>45</v>
      </c>
      <c r="E314" s="19" t="n">
        <v>4</v>
      </c>
      <c r="F314" s="18" t="s">
        <v>46</v>
      </c>
    </row>
    <row r="315" customFormat="false" ht="29.85" hidden="false" customHeight="false" outlineLevel="0" collapsed="false">
      <c r="A315" s="16" t="s">
        <v>185</v>
      </c>
      <c r="B315" s="17" t="s">
        <v>186</v>
      </c>
      <c r="C315" s="16" t="s">
        <v>44</v>
      </c>
      <c r="D315" s="18" t="s">
        <v>47</v>
      </c>
      <c r="E315" s="19" t="n">
        <v>3</v>
      </c>
      <c r="F315" s="18" t="s">
        <v>48</v>
      </c>
    </row>
    <row r="316" customFormat="false" ht="44" hidden="false" customHeight="false" outlineLevel="0" collapsed="false">
      <c r="A316" s="16" t="s">
        <v>185</v>
      </c>
      <c r="B316" s="17" t="s">
        <v>186</v>
      </c>
      <c r="C316" s="16" t="s">
        <v>44</v>
      </c>
      <c r="D316" s="18" t="s">
        <v>49</v>
      </c>
      <c r="E316" s="19" t="n">
        <v>4</v>
      </c>
      <c r="F316" s="18" t="s">
        <v>50</v>
      </c>
    </row>
    <row r="317" customFormat="false" ht="44" hidden="false" customHeight="false" outlineLevel="0" collapsed="false">
      <c r="A317" s="16" t="s">
        <v>185</v>
      </c>
      <c r="B317" s="17" t="s">
        <v>186</v>
      </c>
      <c r="C317" s="16" t="s">
        <v>44</v>
      </c>
      <c r="D317" s="18" t="s">
        <v>51</v>
      </c>
      <c r="E317" s="19" t="n">
        <v>4</v>
      </c>
      <c r="F317" s="18" t="s">
        <v>189</v>
      </c>
    </row>
    <row r="318" customFormat="false" ht="29.85" hidden="false" customHeight="false" outlineLevel="0" collapsed="false">
      <c r="A318" s="16" t="s">
        <v>185</v>
      </c>
      <c r="B318" s="17" t="s">
        <v>186</v>
      </c>
      <c r="C318" s="16" t="s">
        <v>44</v>
      </c>
      <c r="D318" s="18" t="s">
        <v>53</v>
      </c>
      <c r="E318" s="19" t="n">
        <v>3</v>
      </c>
      <c r="F318" s="18" t="s">
        <v>54</v>
      </c>
    </row>
    <row r="319" customFormat="false" ht="44" hidden="false" customHeight="false" outlineLevel="0" collapsed="false">
      <c r="A319" s="16" t="s">
        <v>185</v>
      </c>
      <c r="B319" s="17" t="s">
        <v>186</v>
      </c>
      <c r="C319" s="16" t="s">
        <v>44</v>
      </c>
      <c r="D319" s="18" t="s">
        <v>55</v>
      </c>
      <c r="E319" s="19" t="n">
        <v>2</v>
      </c>
      <c r="F319" s="18" t="s">
        <v>56</v>
      </c>
    </row>
    <row r="320" customFormat="false" ht="15" hidden="false" customHeight="false" outlineLevel="0" collapsed="false">
      <c r="A320" s="20" t="s">
        <v>185</v>
      </c>
      <c r="B320" s="21" t="s">
        <v>186</v>
      </c>
      <c r="C320" s="21" t="s">
        <v>57</v>
      </c>
      <c r="D320" s="22" t="s">
        <v>190</v>
      </c>
      <c r="E320" s="23" t="n">
        <v>6</v>
      </c>
      <c r="F320" s="22"/>
    </row>
    <row r="321" customFormat="false" ht="15" hidden="false" customHeight="false" outlineLevel="0" collapsed="false">
      <c r="A321" s="20" t="s">
        <v>185</v>
      </c>
      <c r="B321" s="21" t="s">
        <v>186</v>
      </c>
      <c r="C321" s="21" t="s">
        <v>57</v>
      </c>
      <c r="D321" s="22" t="s">
        <v>191</v>
      </c>
      <c r="E321" s="23" t="n">
        <v>3</v>
      </c>
      <c r="F321" s="22"/>
    </row>
    <row r="322" customFormat="false" ht="15" hidden="false" customHeight="false" outlineLevel="0" collapsed="false">
      <c r="A322" s="20" t="s">
        <v>185</v>
      </c>
      <c r="B322" s="21" t="s">
        <v>186</v>
      </c>
      <c r="C322" s="21" t="s">
        <v>57</v>
      </c>
      <c r="D322" s="24" t="s">
        <v>192</v>
      </c>
      <c r="E322" s="23" t="n">
        <v>6</v>
      </c>
      <c r="F322" s="22"/>
    </row>
    <row r="323" customFormat="false" ht="15" hidden="false" customHeight="false" outlineLevel="0" collapsed="false">
      <c r="A323" s="20" t="s">
        <v>185</v>
      </c>
      <c r="B323" s="21" t="s">
        <v>186</v>
      </c>
      <c r="C323" s="21" t="s">
        <v>57</v>
      </c>
      <c r="D323" s="24" t="s">
        <v>193</v>
      </c>
      <c r="E323" s="23" t="n">
        <v>5</v>
      </c>
      <c r="F323" s="22"/>
    </row>
    <row r="324" customFormat="false" ht="15" hidden="false" customHeight="false" outlineLevel="0" collapsed="false">
      <c r="A324" s="6" t="s">
        <v>194</v>
      </c>
      <c r="B324" s="7" t="s">
        <v>195</v>
      </c>
      <c r="C324" s="7" t="s">
        <v>26</v>
      </c>
      <c r="D324" s="8" t="s">
        <v>196</v>
      </c>
      <c r="E324" s="9" t="n">
        <v>8</v>
      </c>
      <c r="F324" s="8" t="s">
        <v>28</v>
      </c>
    </row>
    <row r="325" customFormat="false" ht="15" hidden="false" customHeight="false" outlineLevel="0" collapsed="false">
      <c r="A325" s="6" t="s">
        <v>194</v>
      </c>
      <c r="B325" s="7" t="s">
        <v>195</v>
      </c>
      <c r="C325" s="7" t="s">
        <v>26</v>
      </c>
      <c r="D325" s="10" t="s">
        <v>29</v>
      </c>
      <c r="E325" s="9" t="n">
        <v>5</v>
      </c>
      <c r="F325" s="10"/>
    </row>
    <row r="326" customFormat="false" ht="15" hidden="false" customHeight="false" outlineLevel="0" collapsed="false">
      <c r="A326" s="6" t="s">
        <v>194</v>
      </c>
      <c r="B326" s="7" t="s">
        <v>195</v>
      </c>
      <c r="C326" s="7" t="s">
        <v>26</v>
      </c>
      <c r="D326" s="8" t="s">
        <v>30</v>
      </c>
      <c r="E326" s="9" t="n">
        <v>4</v>
      </c>
      <c r="F326" s="10"/>
    </row>
    <row r="327" customFormat="false" ht="15" hidden="false" customHeight="false" outlineLevel="0" collapsed="false">
      <c r="A327" s="6" t="s">
        <v>194</v>
      </c>
      <c r="B327" s="7" t="s">
        <v>195</v>
      </c>
      <c r="C327" s="7" t="s">
        <v>26</v>
      </c>
      <c r="D327" s="8" t="s">
        <v>31</v>
      </c>
      <c r="E327" s="9" t="n">
        <v>4</v>
      </c>
      <c r="F327" s="10"/>
    </row>
    <row r="328" customFormat="false" ht="15" hidden="false" customHeight="false" outlineLevel="0" collapsed="false">
      <c r="A328" s="6" t="s">
        <v>194</v>
      </c>
      <c r="B328" s="7" t="s">
        <v>195</v>
      </c>
      <c r="C328" s="7" t="s">
        <v>26</v>
      </c>
      <c r="D328" s="8" t="s">
        <v>32</v>
      </c>
      <c r="E328" s="9" t="n">
        <v>4</v>
      </c>
      <c r="F328" s="10"/>
    </row>
    <row r="329" customFormat="false" ht="15" hidden="false" customHeight="false" outlineLevel="0" collapsed="false">
      <c r="A329" s="6" t="s">
        <v>194</v>
      </c>
      <c r="B329" s="7" t="s">
        <v>195</v>
      </c>
      <c r="C329" s="7" t="s">
        <v>26</v>
      </c>
      <c r="D329" s="8" t="s">
        <v>33</v>
      </c>
      <c r="E329" s="9" t="n">
        <v>4</v>
      </c>
      <c r="F329" s="10"/>
    </row>
    <row r="330" customFormat="false" ht="15" hidden="false" customHeight="false" outlineLevel="0" collapsed="false">
      <c r="A330" s="6" t="s">
        <v>194</v>
      </c>
      <c r="B330" s="7" t="s">
        <v>195</v>
      </c>
      <c r="C330" s="7" t="s">
        <v>26</v>
      </c>
      <c r="D330" s="8" t="s">
        <v>34</v>
      </c>
      <c r="E330" s="9" t="n">
        <v>4</v>
      </c>
      <c r="F330" s="10"/>
    </row>
    <row r="331" customFormat="false" ht="15" hidden="false" customHeight="false" outlineLevel="0" collapsed="false">
      <c r="A331" s="6" t="s">
        <v>194</v>
      </c>
      <c r="B331" s="7" t="s">
        <v>195</v>
      </c>
      <c r="C331" s="7" t="s">
        <v>26</v>
      </c>
      <c r="D331" s="8" t="s">
        <v>35</v>
      </c>
      <c r="E331" s="9" t="n">
        <v>4</v>
      </c>
      <c r="F331" s="10"/>
    </row>
    <row r="332" customFormat="false" ht="15" hidden="false" customHeight="false" outlineLevel="0" collapsed="false">
      <c r="A332" s="6" t="s">
        <v>194</v>
      </c>
      <c r="B332" s="7" t="s">
        <v>195</v>
      </c>
      <c r="C332" s="7" t="s">
        <v>26</v>
      </c>
      <c r="D332" s="8" t="s">
        <v>36</v>
      </c>
      <c r="E332" s="9" t="n">
        <v>3</v>
      </c>
      <c r="F332" s="8" t="s">
        <v>115</v>
      </c>
    </row>
    <row r="333" customFormat="false" ht="15" hidden="false" customHeight="false" outlineLevel="0" collapsed="false">
      <c r="A333" s="11" t="s">
        <v>194</v>
      </c>
      <c r="B333" s="12" t="s">
        <v>195</v>
      </c>
      <c r="C333" s="12" t="s">
        <v>38</v>
      </c>
      <c r="D333" s="13" t="s">
        <v>39</v>
      </c>
      <c r="E333" s="14" t="n">
        <v>5</v>
      </c>
      <c r="F333" s="13"/>
    </row>
    <row r="334" customFormat="false" ht="15" hidden="false" customHeight="false" outlineLevel="0" collapsed="false">
      <c r="A334" s="11" t="s">
        <v>194</v>
      </c>
      <c r="B334" s="12" t="s">
        <v>195</v>
      </c>
      <c r="C334" s="12" t="s">
        <v>38</v>
      </c>
      <c r="D334" s="15" t="s">
        <v>40</v>
      </c>
      <c r="E334" s="14" t="n">
        <v>5</v>
      </c>
      <c r="F334" s="13"/>
    </row>
    <row r="335" customFormat="false" ht="15" hidden="false" customHeight="false" outlineLevel="0" collapsed="false">
      <c r="A335" s="11" t="s">
        <v>194</v>
      </c>
      <c r="B335" s="12" t="s">
        <v>195</v>
      </c>
      <c r="C335" s="12" t="s">
        <v>38</v>
      </c>
      <c r="D335" s="15" t="s">
        <v>197</v>
      </c>
      <c r="E335" s="14" t="n">
        <v>5</v>
      </c>
      <c r="F335" s="15" t="s">
        <v>42</v>
      </c>
    </row>
    <row r="336" customFormat="false" ht="15" hidden="false" customHeight="false" outlineLevel="0" collapsed="false">
      <c r="A336" s="11" t="s">
        <v>194</v>
      </c>
      <c r="B336" s="12" t="s">
        <v>195</v>
      </c>
      <c r="C336" s="12" t="s">
        <v>38</v>
      </c>
      <c r="D336" s="15" t="s">
        <v>43</v>
      </c>
      <c r="E336" s="14" t="n">
        <v>5</v>
      </c>
      <c r="F336" s="13"/>
    </row>
    <row r="337" customFormat="false" ht="44" hidden="false" customHeight="false" outlineLevel="0" collapsed="false">
      <c r="A337" s="16" t="s">
        <v>194</v>
      </c>
      <c r="B337" s="17" t="s">
        <v>195</v>
      </c>
      <c r="C337" s="16" t="s">
        <v>44</v>
      </c>
      <c r="D337" s="18" t="s">
        <v>45</v>
      </c>
      <c r="E337" s="19" t="n">
        <v>4</v>
      </c>
      <c r="F337" s="18" t="s">
        <v>46</v>
      </c>
    </row>
    <row r="338" customFormat="false" ht="29.85" hidden="false" customHeight="false" outlineLevel="0" collapsed="false">
      <c r="A338" s="16" t="s">
        <v>194</v>
      </c>
      <c r="B338" s="17" t="s">
        <v>195</v>
      </c>
      <c r="C338" s="16" t="s">
        <v>44</v>
      </c>
      <c r="D338" s="18" t="s">
        <v>47</v>
      </c>
      <c r="E338" s="19" t="n">
        <v>3</v>
      </c>
      <c r="F338" s="18" t="s">
        <v>48</v>
      </c>
    </row>
    <row r="339" customFormat="false" ht="44" hidden="false" customHeight="false" outlineLevel="0" collapsed="false">
      <c r="A339" s="16" t="s">
        <v>194</v>
      </c>
      <c r="B339" s="17" t="s">
        <v>195</v>
      </c>
      <c r="C339" s="16" t="s">
        <v>44</v>
      </c>
      <c r="D339" s="18" t="s">
        <v>49</v>
      </c>
      <c r="E339" s="19" t="n">
        <v>4</v>
      </c>
      <c r="F339" s="18" t="s">
        <v>117</v>
      </c>
    </row>
    <row r="340" customFormat="false" ht="44" hidden="false" customHeight="false" outlineLevel="0" collapsed="false">
      <c r="A340" s="16" t="s">
        <v>194</v>
      </c>
      <c r="B340" s="17" t="s">
        <v>195</v>
      </c>
      <c r="C340" s="16" t="s">
        <v>44</v>
      </c>
      <c r="D340" s="18" t="s">
        <v>51</v>
      </c>
      <c r="E340" s="19" t="n">
        <v>4</v>
      </c>
      <c r="F340" s="18" t="s">
        <v>198</v>
      </c>
    </row>
    <row r="341" customFormat="false" ht="29.85" hidden="false" customHeight="false" outlineLevel="0" collapsed="false">
      <c r="A341" s="16" t="s">
        <v>194</v>
      </c>
      <c r="B341" s="17" t="s">
        <v>195</v>
      </c>
      <c r="C341" s="16" t="s">
        <v>44</v>
      </c>
      <c r="D341" s="18" t="s">
        <v>53</v>
      </c>
      <c r="E341" s="19" t="n">
        <v>3</v>
      </c>
      <c r="F341" s="18" t="s">
        <v>54</v>
      </c>
    </row>
    <row r="342" customFormat="false" ht="44" hidden="false" customHeight="false" outlineLevel="0" collapsed="false">
      <c r="A342" s="16" t="s">
        <v>194</v>
      </c>
      <c r="B342" s="17" t="s">
        <v>195</v>
      </c>
      <c r="C342" s="16" t="s">
        <v>44</v>
      </c>
      <c r="D342" s="18" t="s">
        <v>55</v>
      </c>
      <c r="E342" s="19" t="n">
        <v>2</v>
      </c>
      <c r="F342" s="18" t="s">
        <v>56</v>
      </c>
    </row>
    <row r="343" customFormat="false" ht="15" hidden="false" customHeight="false" outlineLevel="0" collapsed="false">
      <c r="A343" s="20" t="s">
        <v>194</v>
      </c>
      <c r="B343" s="21" t="s">
        <v>195</v>
      </c>
      <c r="C343" s="21" t="s">
        <v>57</v>
      </c>
      <c r="D343" s="22" t="s">
        <v>199</v>
      </c>
      <c r="E343" s="23" t="n">
        <v>6</v>
      </c>
      <c r="F343" s="22"/>
    </row>
    <row r="344" customFormat="false" ht="15" hidden="false" customHeight="false" outlineLevel="0" collapsed="false">
      <c r="A344" s="20" t="s">
        <v>194</v>
      </c>
      <c r="B344" s="21" t="s">
        <v>195</v>
      </c>
      <c r="C344" s="21" t="s">
        <v>57</v>
      </c>
      <c r="D344" s="22" t="s">
        <v>191</v>
      </c>
      <c r="E344" s="23" t="n">
        <v>3</v>
      </c>
      <c r="F344" s="22"/>
    </row>
    <row r="345" customFormat="false" ht="15" hidden="false" customHeight="false" outlineLevel="0" collapsed="false">
      <c r="A345" s="20" t="s">
        <v>194</v>
      </c>
      <c r="B345" s="21" t="s">
        <v>195</v>
      </c>
      <c r="C345" s="21" t="s">
        <v>57</v>
      </c>
      <c r="D345" s="24" t="s">
        <v>200</v>
      </c>
      <c r="E345" s="23" t="n">
        <v>6</v>
      </c>
      <c r="F345" s="22"/>
    </row>
    <row r="346" customFormat="false" ht="29.85" hidden="false" customHeight="false" outlineLevel="0" collapsed="false">
      <c r="A346" s="20" t="s">
        <v>194</v>
      </c>
      <c r="B346" s="21" t="s">
        <v>195</v>
      </c>
      <c r="C346" s="21" t="s">
        <v>57</v>
      </c>
      <c r="D346" s="24" t="s">
        <v>201</v>
      </c>
      <c r="E346" s="23" t="n">
        <v>5</v>
      </c>
      <c r="F346" s="22"/>
    </row>
    <row r="347" customFormat="false" ht="15" hidden="false" customHeight="false" outlineLevel="0" collapsed="false">
      <c r="A347" s="6" t="s">
        <v>202</v>
      </c>
      <c r="B347" s="7" t="s">
        <v>203</v>
      </c>
      <c r="C347" s="7" t="s">
        <v>26</v>
      </c>
      <c r="D347" s="8" t="s">
        <v>204</v>
      </c>
      <c r="E347" s="9" t="n">
        <v>8</v>
      </c>
      <c r="F347" s="8" t="s">
        <v>28</v>
      </c>
    </row>
    <row r="348" customFormat="false" ht="15" hidden="false" customHeight="false" outlineLevel="0" collapsed="false">
      <c r="A348" s="6" t="s">
        <v>202</v>
      </c>
      <c r="B348" s="7" t="s">
        <v>203</v>
      </c>
      <c r="C348" s="7" t="s">
        <v>26</v>
      </c>
      <c r="D348" s="10" t="s">
        <v>29</v>
      </c>
      <c r="E348" s="9" t="n">
        <v>5</v>
      </c>
      <c r="F348" s="10"/>
    </row>
    <row r="349" customFormat="false" ht="15" hidden="false" customHeight="false" outlineLevel="0" collapsed="false">
      <c r="A349" s="6" t="s">
        <v>202</v>
      </c>
      <c r="B349" s="7" t="s">
        <v>203</v>
      </c>
      <c r="C349" s="7" t="s">
        <v>26</v>
      </c>
      <c r="D349" s="8" t="s">
        <v>30</v>
      </c>
      <c r="E349" s="9" t="n">
        <v>4</v>
      </c>
      <c r="F349" s="10"/>
    </row>
    <row r="350" customFormat="false" ht="15" hidden="false" customHeight="false" outlineLevel="0" collapsed="false">
      <c r="A350" s="6" t="s">
        <v>202</v>
      </c>
      <c r="B350" s="7" t="s">
        <v>203</v>
      </c>
      <c r="C350" s="7" t="s">
        <v>26</v>
      </c>
      <c r="D350" s="8" t="s">
        <v>31</v>
      </c>
      <c r="E350" s="9" t="n">
        <v>4</v>
      </c>
      <c r="F350" s="10"/>
    </row>
    <row r="351" customFormat="false" ht="15" hidden="false" customHeight="false" outlineLevel="0" collapsed="false">
      <c r="A351" s="6" t="s">
        <v>202</v>
      </c>
      <c r="B351" s="7" t="s">
        <v>203</v>
      </c>
      <c r="C351" s="7" t="s">
        <v>26</v>
      </c>
      <c r="D351" s="8" t="s">
        <v>32</v>
      </c>
      <c r="E351" s="9" t="n">
        <v>4</v>
      </c>
      <c r="F351" s="10"/>
    </row>
    <row r="352" customFormat="false" ht="15" hidden="false" customHeight="false" outlineLevel="0" collapsed="false">
      <c r="A352" s="6" t="s">
        <v>202</v>
      </c>
      <c r="B352" s="7" t="s">
        <v>203</v>
      </c>
      <c r="C352" s="7" t="s">
        <v>26</v>
      </c>
      <c r="D352" s="8" t="s">
        <v>33</v>
      </c>
      <c r="E352" s="9" t="n">
        <v>4</v>
      </c>
      <c r="F352" s="10"/>
    </row>
    <row r="353" customFormat="false" ht="15" hidden="false" customHeight="false" outlineLevel="0" collapsed="false">
      <c r="A353" s="6" t="s">
        <v>202</v>
      </c>
      <c r="B353" s="7" t="s">
        <v>203</v>
      </c>
      <c r="C353" s="7" t="s">
        <v>26</v>
      </c>
      <c r="D353" s="8" t="s">
        <v>34</v>
      </c>
      <c r="E353" s="9" t="n">
        <v>4</v>
      </c>
      <c r="F353" s="10"/>
    </row>
    <row r="354" customFormat="false" ht="15" hidden="false" customHeight="false" outlineLevel="0" collapsed="false">
      <c r="A354" s="6" t="s">
        <v>202</v>
      </c>
      <c r="B354" s="7" t="s">
        <v>203</v>
      </c>
      <c r="C354" s="7" t="s">
        <v>26</v>
      </c>
      <c r="D354" s="8" t="s">
        <v>35</v>
      </c>
      <c r="E354" s="9" t="n">
        <v>4</v>
      </c>
      <c r="F354" s="10"/>
    </row>
    <row r="355" customFormat="false" ht="15" hidden="false" customHeight="false" outlineLevel="0" collapsed="false">
      <c r="A355" s="6" t="s">
        <v>202</v>
      </c>
      <c r="B355" s="7" t="s">
        <v>203</v>
      </c>
      <c r="C355" s="7" t="s">
        <v>26</v>
      </c>
      <c r="D355" s="8" t="s">
        <v>36</v>
      </c>
      <c r="E355" s="9" t="n">
        <v>3</v>
      </c>
      <c r="F355" s="8" t="s">
        <v>115</v>
      </c>
    </row>
    <row r="356" customFormat="false" ht="15" hidden="false" customHeight="false" outlineLevel="0" collapsed="false">
      <c r="A356" s="11" t="s">
        <v>202</v>
      </c>
      <c r="B356" s="12" t="s">
        <v>203</v>
      </c>
      <c r="C356" s="12" t="s">
        <v>38</v>
      </c>
      <c r="D356" s="13" t="s">
        <v>39</v>
      </c>
      <c r="E356" s="14" t="n">
        <v>5</v>
      </c>
      <c r="F356" s="13"/>
    </row>
    <row r="357" customFormat="false" ht="15" hidden="false" customHeight="false" outlineLevel="0" collapsed="false">
      <c r="A357" s="11" t="s">
        <v>202</v>
      </c>
      <c r="B357" s="12" t="s">
        <v>203</v>
      </c>
      <c r="C357" s="12" t="s">
        <v>38</v>
      </c>
      <c r="D357" s="15" t="s">
        <v>40</v>
      </c>
      <c r="E357" s="14" t="n">
        <v>5</v>
      </c>
      <c r="F357" s="13"/>
    </row>
    <row r="358" customFormat="false" ht="15" hidden="false" customHeight="false" outlineLevel="0" collapsed="false">
      <c r="A358" s="11" t="s">
        <v>202</v>
      </c>
      <c r="B358" s="12" t="s">
        <v>203</v>
      </c>
      <c r="C358" s="12" t="s">
        <v>38</v>
      </c>
      <c r="D358" s="15" t="s">
        <v>205</v>
      </c>
      <c r="E358" s="14" t="n">
        <v>5</v>
      </c>
      <c r="F358" s="15" t="s">
        <v>42</v>
      </c>
    </row>
    <row r="359" customFormat="false" ht="15" hidden="false" customHeight="false" outlineLevel="0" collapsed="false">
      <c r="A359" s="11" t="s">
        <v>202</v>
      </c>
      <c r="B359" s="12" t="s">
        <v>203</v>
      </c>
      <c r="C359" s="12" t="s">
        <v>38</v>
      </c>
      <c r="D359" s="15" t="s">
        <v>43</v>
      </c>
      <c r="E359" s="14" t="n">
        <v>5</v>
      </c>
      <c r="F359" s="13"/>
    </row>
    <row r="360" customFormat="false" ht="44" hidden="false" customHeight="false" outlineLevel="0" collapsed="false">
      <c r="A360" s="16" t="s">
        <v>202</v>
      </c>
      <c r="B360" s="17" t="s">
        <v>203</v>
      </c>
      <c r="C360" s="16" t="s">
        <v>44</v>
      </c>
      <c r="D360" s="18" t="s">
        <v>45</v>
      </c>
      <c r="E360" s="19" t="n">
        <v>4</v>
      </c>
      <c r="F360" s="18" t="s">
        <v>46</v>
      </c>
    </row>
    <row r="361" customFormat="false" ht="29.85" hidden="false" customHeight="false" outlineLevel="0" collapsed="false">
      <c r="A361" s="16" t="s">
        <v>202</v>
      </c>
      <c r="B361" s="17" t="s">
        <v>203</v>
      </c>
      <c r="C361" s="16" t="s">
        <v>44</v>
      </c>
      <c r="D361" s="18" t="s">
        <v>47</v>
      </c>
      <c r="E361" s="19" t="n">
        <v>3</v>
      </c>
      <c r="F361" s="18" t="s">
        <v>48</v>
      </c>
    </row>
    <row r="362" customFormat="false" ht="44" hidden="false" customHeight="false" outlineLevel="0" collapsed="false">
      <c r="A362" s="16" t="s">
        <v>202</v>
      </c>
      <c r="B362" s="17" t="s">
        <v>203</v>
      </c>
      <c r="C362" s="16" t="s">
        <v>44</v>
      </c>
      <c r="D362" s="18" t="s">
        <v>49</v>
      </c>
      <c r="E362" s="19" t="n">
        <v>4</v>
      </c>
      <c r="F362" s="18" t="s">
        <v>117</v>
      </c>
    </row>
    <row r="363" customFormat="false" ht="58.2" hidden="false" customHeight="false" outlineLevel="0" collapsed="false">
      <c r="A363" s="16" t="s">
        <v>202</v>
      </c>
      <c r="B363" s="17" t="s">
        <v>203</v>
      </c>
      <c r="C363" s="16" t="s">
        <v>44</v>
      </c>
      <c r="D363" s="18" t="s">
        <v>51</v>
      </c>
      <c r="E363" s="19" t="n">
        <v>4</v>
      </c>
      <c r="F363" s="18" t="s">
        <v>206</v>
      </c>
    </row>
    <row r="364" customFormat="false" ht="29.85" hidden="false" customHeight="false" outlineLevel="0" collapsed="false">
      <c r="A364" s="16" t="s">
        <v>202</v>
      </c>
      <c r="B364" s="17" t="s">
        <v>203</v>
      </c>
      <c r="C364" s="16" t="s">
        <v>44</v>
      </c>
      <c r="D364" s="18" t="s">
        <v>53</v>
      </c>
      <c r="E364" s="19" t="n">
        <v>3</v>
      </c>
      <c r="F364" s="18" t="s">
        <v>54</v>
      </c>
    </row>
    <row r="365" customFormat="false" ht="44" hidden="false" customHeight="false" outlineLevel="0" collapsed="false">
      <c r="A365" s="16" t="s">
        <v>202</v>
      </c>
      <c r="B365" s="17" t="s">
        <v>203</v>
      </c>
      <c r="C365" s="16" t="s">
        <v>44</v>
      </c>
      <c r="D365" s="18" t="s">
        <v>55</v>
      </c>
      <c r="E365" s="19" t="n">
        <v>2</v>
      </c>
      <c r="F365" s="18" t="s">
        <v>56</v>
      </c>
    </row>
    <row r="366" customFormat="false" ht="15" hidden="false" customHeight="false" outlineLevel="0" collapsed="false">
      <c r="A366" s="20" t="s">
        <v>202</v>
      </c>
      <c r="B366" s="21" t="s">
        <v>203</v>
      </c>
      <c r="C366" s="21" t="s">
        <v>57</v>
      </c>
      <c r="D366" s="22" t="s">
        <v>207</v>
      </c>
      <c r="E366" s="23" t="n">
        <v>6</v>
      </c>
      <c r="F366" s="22"/>
    </row>
    <row r="367" customFormat="false" ht="15" hidden="false" customHeight="false" outlineLevel="0" collapsed="false">
      <c r="A367" s="20" t="s">
        <v>202</v>
      </c>
      <c r="B367" s="21" t="s">
        <v>203</v>
      </c>
      <c r="C367" s="21" t="s">
        <v>57</v>
      </c>
      <c r="D367" s="22" t="s">
        <v>208</v>
      </c>
      <c r="E367" s="23" t="n">
        <v>3</v>
      </c>
      <c r="F367" s="22"/>
    </row>
    <row r="368" customFormat="false" ht="15" hidden="false" customHeight="false" outlineLevel="0" collapsed="false">
      <c r="A368" s="20" t="s">
        <v>202</v>
      </c>
      <c r="B368" s="21" t="s">
        <v>203</v>
      </c>
      <c r="C368" s="21" t="s">
        <v>57</v>
      </c>
      <c r="D368" s="24" t="s">
        <v>209</v>
      </c>
      <c r="E368" s="23" t="n">
        <v>6</v>
      </c>
      <c r="F368" s="22"/>
    </row>
    <row r="369" customFormat="false" ht="29.85" hidden="false" customHeight="false" outlineLevel="0" collapsed="false">
      <c r="A369" s="20" t="s">
        <v>202</v>
      </c>
      <c r="B369" s="21" t="s">
        <v>203</v>
      </c>
      <c r="C369" s="21" t="s">
        <v>57</v>
      </c>
      <c r="D369" s="24" t="s">
        <v>210</v>
      </c>
      <c r="E369" s="23" t="n">
        <v>5</v>
      </c>
      <c r="F369" s="22"/>
    </row>
    <row r="370" customFormat="false" ht="15" hidden="false" customHeight="false" outlineLevel="0" collapsed="false">
      <c r="A370" s="6" t="s">
        <v>211</v>
      </c>
      <c r="B370" s="7" t="s">
        <v>212</v>
      </c>
      <c r="C370" s="7" t="s">
        <v>26</v>
      </c>
      <c r="D370" s="8" t="s">
        <v>213</v>
      </c>
      <c r="E370" s="9" t="n">
        <v>8</v>
      </c>
      <c r="F370" s="8" t="s">
        <v>28</v>
      </c>
    </row>
    <row r="371" customFormat="false" ht="15" hidden="false" customHeight="false" outlineLevel="0" collapsed="false">
      <c r="A371" s="6" t="s">
        <v>211</v>
      </c>
      <c r="B371" s="7" t="s">
        <v>212</v>
      </c>
      <c r="C371" s="7" t="s">
        <v>26</v>
      </c>
      <c r="D371" s="10" t="s">
        <v>29</v>
      </c>
      <c r="E371" s="9" t="n">
        <v>5</v>
      </c>
      <c r="F371" s="10"/>
    </row>
    <row r="372" customFormat="false" ht="15" hidden="false" customHeight="false" outlineLevel="0" collapsed="false">
      <c r="A372" s="6" t="s">
        <v>211</v>
      </c>
      <c r="B372" s="7" t="s">
        <v>212</v>
      </c>
      <c r="C372" s="7" t="s">
        <v>26</v>
      </c>
      <c r="D372" s="8" t="s">
        <v>30</v>
      </c>
      <c r="E372" s="9" t="n">
        <v>4</v>
      </c>
      <c r="F372" s="10"/>
    </row>
    <row r="373" customFormat="false" ht="15" hidden="false" customHeight="false" outlineLevel="0" collapsed="false">
      <c r="A373" s="6" t="s">
        <v>211</v>
      </c>
      <c r="B373" s="7" t="s">
        <v>212</v>
      </c>
      <c r="C373" s="7" t="s">
        <v>26</v>
      </c>
      <c r="D373" s="8" t="s">
        <v>31</v>
      </c>
      <c r="E373" s="9" t="n">
        <v>4</v>
      </c>
      <c r="F373" s="10"/>
    </row>
    <row r="374" customFormat="false" ht="15" hidden="false" customHeight="false" outlineLevel="0" collapsed="false">
      <c r="A374" s="6" t="s">
        <v>211</v>
      </c>
      <c r="B374" s="7" t="s">
        <v>212</v>
      </c>
      <c r="C374" s="7" t="s">
        <v>26</v>
      </c>
      <c r="D374" s="8" t="s">
        <v>32</v>
      </c>
      <c r="E374" s="9" t="n">
        <v>4</v>
      </c>
      <c r="F374" s="10"/>
    </row>
    <row r="375" customFormat="false" ht="15" hidden="false" customHeight="false" outlineLevel="0" collapsed="false">
      <c r="A375" s="6" t="s">
        <v>211</v>
      </c>
      <c r="B375" s="7" t="s">
        <v>212</v>
      </c>
      <c r="C375" s="7" t="s">
        <v>26</v>
      </c>
      <c r="D375" s="8" t="s">
        <v>33</v>
      </c>
      <c r="E375" s="9" t="n">
        <v>4</v>
      </c>
      <c r="F375" s="10"/>
    </row>
    <row r="376" customFormat="false" ht="15" hidden="false" customHeight="false" outlineLevel="0" collapsed="false">
      <c r="A376" s="6" t="s">
        <v>211</v>
      </c>
      <c r="B376" s="7" t="s">
        <v>212</v>
      </c>
      <c r="C376" s="7" t="s">
        <v>26</v>
      </c>
      <c r="D376" s="8" t="s">
        <v>34</v>
      </c>
      <c r="E376" s="9" t="n">
        <v>4</v>
      </c>
      <c r="F376" s="10"/>
    </row>
    <row r="377" customFormat="false" ht="15" hidden="false" customHeight="false" outlineLevel="0" collapsed="false">
      <c r="A377" s="6" t="s">
        <v>211</v>
      </c>
      <c r="B377" s="7" t="s">
        <v>212</v>
      </c>
      <c r="C377" s="7" t="s">
        <v>26</v>
      </c>
      <c r="D377" s="8" t="s">
        <v>35</v>
      </c>
      <c r="E377" s="9" t="n">
        <v>4</v>
      </c>
      <c r="F377" s="10"/>
    </row>
    <row r="378" customFormat="false" ht="15" hidden="false" customHeight="false" outlineLevel="0" collapsed="false">
      <c r="A378" s="6" t="s">
        <v>211</v>
      </c>
      <c r="B378" s="7" t="s">
        <v>212</v>
      </c>
      <c r="C378" s="7" t="s">
        <v>26</v>
      </c>
      <c r="D378" s="8" t="s">
        <v>36</v>
      </c>
      <c r="E378" s="9" t="n">
        <v>3</v>
      </c>
      <c r="F378" s="8" t="s">
        <v>214</v>
      </c>
    </row>
    <row r="379" customFormat="false" ht="15" hidden="false" customHeight="false" outlineLevel="0" collapsed="false">
      <c r="A379" s="11" t="s">
        <v>211</v>
      </c>
      <c r="B379" s="12" t="s">
        <v>212</v>
      </c>
      <c r="C379" s="12" t="s">
        <v>38</v>
      </c>
      <c r="D379" s="13" t="s">
        <v>39</v>
      </c>
      <c r="E379" s="14" t="n">
        <v>5</v>
      </c>
      <c r="F379" s="13"/>
    </row>
    <row r="380" customFormat="false" ht="15" hidden="false" customHeight="false" outlineLevel="0" collapsed="false">
      <c r="A380" s="11" t="s">
        <v>211</v>
      </c>
      <c r="B380" s="12" t="s">
        <v>212</v>
      </c>
      <c r="C380" s="12" t="s">
        <v>38</v>
      </c>
      <c r="D380" s="15" t="s">
        <v>40</v>
      </c>
      <c r="E380" s="14" t="n">
        <v>5</v>
      </c>
      <c r="F380" s="13"/>
    </row>
    <row r="381" customFormat="false" ht="15" hidden="false" customHeight="false" outlineLevel="0" collapsed="false">
      <c r="A381" s="11" t="s">
        <v>211</v>
      </c>
      <c r="B381" s="12" t="s">
        <v>212</v>
      </c>
      <c r="C381" s="12" t="s">
        <v>38</v>
      </c>
      <c r="D381" s="13" t="s">
        <v>169</v>
      </c>
      <c r="E381" s="14" t="n">
        <v>5</v>
      </c>
      <c r="F381" s="15" t="s">
        <v>42</v>
      </c>
    </row>
    <row r="382" customFormat="false" ht="15" hidden="false" customHeight="false" outlineLevel="0" collapsed="false">
      <c r="A382" s="11" t="s">
        <v>211</v>
      </c>
      <c r="B382" s="12" t="s">
        <v>212</v>
      </c>
      <c r="C382" s="12" t="s">
        <v>38</v>
      </c>
      <c r="D382" s="15" t="s">
        <v>43</v>
      </c>
      <c r="E382" s="14" t="n">
        <v>5</v>
      </c>
      <c r="F382" s="13"/>
    </row>
    <row r="383" customFormat="false" ht="44" hidden="false" customHeight="false" outlineLevel="0" collapsed="false">
      <c r="A383" s="16" t="s">
        <v>211</v>
      </c>
      <c r="B383" s="17" t="s">
        <v>212</v>
      </c>
      <c r="C383" s="16" t="s">
        <v>44</v>
      </c>
      <c r="D383" s="18" t="s">
        <v>45</v>
      </c>
      <c r="E383" s="19" t="n">
        <v>4</v>
      </c>
      <c r="F383" s="18" t="s">
        <v>46</v>
      </c>
    </row>
    <row r="384" customFormat="false" ht="29.85" hidden="false" customHeight="false" outlineLevel="0" collapsed="false">
      <c r="A384" s="16" t="s">
        <v>211</v>
      </c>
      <c r="B384" s="17" t="s">
        <v>212</v>
      </c>
      <c r="C384" s="16" t="s">
        <v>44</v>
      </c>
      <c r="D384" s="18" t="s">
        <v>47</v>
      </c>
      <c r="E384" s="19" t="n">
        <v>3</v>
      </c>
      <c r="F384" s="18" t="s">
        <v>48</v>
      </c>
    </row>
    <row r="385" customFormat="false" ht="44" hidden="false" customHeight="false" outlineLevel="0" collapsed="false">
      <c r="A385" s="16" t="s">
        <v>211</v>
      </c>
      <c r="B385" s="17" t="s">
        <v>212</v>
      </c>
      <c r="C385" s="16" t="s">
        <v>44</v>
      </c>
      <c r="D385" s="18" t="s">
        <v>49</v>
      </c>
      <c r="E385" s="19" t="n">
        <v>4</v>
      </c>
      <c r="F385" s="18" t="s">
        <v>215</v>
      </c>
    </row>
    <row r="386" customFormat="false" ht="44" hidden="false" customHeight="false" outlineLevel="0" collapsed="false">
      <c r="A386" s="16" t="s">
        <v>211</v>
      </c>
      <c r="B386" s="17" t="s">
        <v>212</v>
      </c>
      <c r="C386" s="16" t="s">
        <v>44</v>
      </c>
      <c r="D386" s="18" t="s">
        <v>51</v>
      </c>
      <c r="E386" s="19" t="n">
        <v>4</v>
      </c>
      <c r="F386" s="18" t="s">
        <v>216</v>
      </c>
    </row>
    <row r="387" customFormat="false" ht="29.85" hidden="false" customHeight="false" outlineLevel="0" collapsed="false">
      <c r="A387" s="16" t="s">
        <v>211</v>
      </c>
      <c r="B387" s="17" t="s">
        <v>212</v>
      </c>
      <c r="C387" s="16" t="s">
        <v>44</v>
      </c>
      <c r="D387" s="18" t="s">
        <v>53</v>
      </c>
      <c r="E387" s="19" t="n">
        <v>3</v>
      </c>
      <c r="F387" s="18" t="s">
        <v>54</v>
      </c>
    </row>
    <row r="388" customFormat="false" ht="44" hidden="false" customHeight="false" outlineLevel="0" collapsed="false">
      <c r="A388" s="16" t="s">
        <v>211</v>
      </c>
      <c r="B388" s="17" t="s">
        <v>212</v>
      </c>
      <c r="C388" s="16" t="s">
        <v>44</v>
      </c>
      <c r="D388" s="18" t="s">
        <v>55</v>
      </c>
      <c r="E388" s="19" t="n">
        <v>2</v>
      </c>
      <c r="F388" s="18" t="s">
        <v>56</v>
      </c>
    </row>
    <row r="389" customFormat="false" ht="15" hidden="false" customHeight="false" outlineLevel="0" collapsed="false">
      <c r="A389" s="20" t="s">
        <v>211</v>
      </c>
      <c r="B389" s="21" t="s">
        <v>212</v>
      </c>
      <c r="C389" s="21" t="s">
        <v>57</v>
      </c>
      <c r="D389" s="22" t="s">
        <v>217</v>
      </c>
      <c r="E389" s="23" t="n">
        <v>6</v>
      </c>
      <c r="F389" s="22"/>
    </row>
    <row r="390" customFormat="false" ht="15" hidden="false" customHeight="false" outlineLevel="0" collapsed="false">
      <c r="A390" s="20" t="s">
        <v>211</v>
      </c>
      <c r="B390" s="21" t="s">
        <v>212</v>
      </c>
      <c r="C390" s="21" t="s">
        <v>57</v>
      </c>
      <c r="D390" s="22" t="s">
        <v>218</v>
      </c>
      <c r="E390" s="23" t="n">
        <v>3</v>
      </c>
      <c r="F390" s="22"/>
    </row>
    <row r="391" customFormat="false" ht="15" hidden="false" customHeight="false" outlineLevel="0" collapsed="false">
      <c r="A391" s="20" t="s">
        <v>211</v>
      </c>
      <c r="B391" s="21" t="s">
        <v>212</v>
      </c>
      <c r="C391" s="21" t="s">
        <v>57</v>
      </c>
      <c r="D391" s="24" t="s">
        <v>219</v>
      </c>
      <c r="E391" s="23" t="n">
        <v>6</v>
      </c>
      <c r="F391" s="22"/>
    </row>
    <row r="392" customFormat="false" ht="15" hidden="false" customHeight="false" outlineLevel="0" collapsed="false">
      <c r="A392" s="20" t="s">
        <v>211</v>
      </c>
      <c r="B392" s="21" t="s">
        <v>212</v>
      </c>
      <c r="C392" s="21" t="s">
        <v>57</v>
      </c>
      <c r="D392" s="24" t="s">
        <v>220</v>
      </c>
      <c r="E392" s="23" t="n">
        <v>5</v>
      </c>
      <c r="F392" s="22"/>
    </row>
    <row r="393" customFormat="false" ht="15" hidden="false" customHeight="false" outlineLevel="0" collapsed="false">
      <c r="A393" s="6" t="s">
        <v>221</v>
      </c>
      <c r="B393" s="7" t="s">
        <v>222</v>
      </c>
      <c r="C393" s="7" t="s">
        <v>26</v>
      </c>
      <c r="D393" s="8" t="s">
        <v>223</v>
      </c>
      <c r="E393" s="9" t="n">
        <v>8</v>
      </c>
      <c r="F393" s="8" t="s">
        <v>28</v>
      </c>
    </row>
    <row r="394" customFormat="false" ht="15" hidden="false" customHeight="false" outlineLevel="0" collapsed="false">
      <c r="A394" s="6" t="s">
        <v>221</v>
      </c>
      <c r="B394" s="7" t="s">
        <v>222</v>
      </c>
      <c r="C394" s="7" t="s">
        <v>26</v>
      </c>
      <c r="D394" s="10" t="s">
        <v>29</v>
      </c>
      <c r="E394" s="9" t="n">
        <v>5</v>
      </c>
      <c r="F394" s="10"/>
    </row>
    <row r="395" customFormat="false" ht="15" hidden="false" customHeight="false" outlineLevel="0" collapsed="false">
      <c r="A395" s="6" t="s">
        <v>221</v>
      </c>
      <c r="B395" s="7" t="s">
        <v>222</v>
      </c>
      <c r="C395" s="7" t="s">
        <v>26</v>
      </c>
      <c r="D395" s="8" t="s">
        <v>30</v>
      </c>
      <c r="E395" s="9" t="n">
        <v>4</v>
      </c>
      <c r="F395" s="10"/>
    </row>
    <row r="396" customFormat="false" ht="15" hidden="false" customHeight="false" outlineLevel="0" collapsed="false">
      <c r="A396" s="6" t="s">
        <v>221</v>
      </c>
      <c r="B396" s="7" t="s">
        <v>222</v>
      </c>
      <c r="C396" s="7" t="s">
        <v>26</v>
      </c>
      <c r="D396" s="8" t="s">
        <v>31</v>
      </c>
      <c r="E396" s="9" t="n">
        <v>4</v>
      </c>
      <c r="F396" s="10"/>
    </row>
    <row r="397" customFormat="false" ht="15" hidden="false" customHeight="false" outlineLevel="0" collapsed="false">
      <c r="A397" s="6" t="s">
        <v>221</v>
      </c>
      <c r="B397" s="7" t="s">
        <v>222</v>
      </c>
      <c r="C397" s="7" t="s">
        <v>26</v>
      </c>
      <c r="D397" s="8" t="s">
        <v>32</v>
      </c>
      <c r="E397" s="9" t="n">
        <v>4</v>
      </c>
      <c r="F397" s="10"/>
    </row>
    <row r="398" customFormat="false" ht="15" hidden="false" customHeight="false" outlineLevel="0" collapsed="false">
      <c r="A398" s="6" t="s">
        <v>221</v>
      </c>
      <c r="B398" s="7" t="s">
        <v>222</v>
      </c>
      <c r="C398" s="7" t="s">
        <v>26</v>
      </c>
      <c r="D398" s="8" t="s">
        <v>33</v>
      </c>
      <c r="E398" s="9" t="n">
        <v>4</v>
      </c>
      <c r="F398" s="10"/>
    </row>
    <row r="399" customFormat="false" ht="15" hidden="false" customHeight="false" outlineLevel="0" collapsed="false">
      <c r="A399" s="6" t="s">
        <v>221</v>
      </c>
      <c r="B399" s="7" t="s">
        <v>222</v>
      </c>
      <c r="C399" s="7" t="s">
        <v>26</v>
      </c>
      <c r="D399" s="8" t="s">
        <v>34</v>
      </c>
      <c r="E399" s="9" t="n">
        <v>4</v>
      </c>
      <c r="F399" s="10"/>
    </row>
    <row r="400" customFormat="false" ht="15" hidden="false" customHeight="false" outlineLevel="0" collapsed="false">
      <c r="A400" s="6" t="s">
        <v>221</v>
      </c>
      <c r="B400" s="7" t="s">
        <v>222</v>
      </c>
      <c r="C400" s="7" t="s">
        <v>26</v>
      </c>
      <c r="D400" s="8" t="s">
        <v>35</v>
      </c>
      <c r="E400" s="9" t="n">
        <v>4</v>
      </c>
      <c r="F400" s="10"/>
    </row>
    <row r="401" customFormat="false" ht="15" hidden="false" customHeight="false" outlineLevel="0" collapsed="false">
      <c r="A401" s="6" t="s">
        <v>221</v>
      </c>
      <c r="B401" s="7" t="s">
        <v>222</v>
      </c>
      <c r="C401" s="7" t="s">
        <v>26</v>
      </c>
      <c r="D401" s="8" t="s">
        <v>36</v>
      </c>
      <c r="E401" s="9" t="n">
        <v>3</v>
      </c>
      <c r="F401" s="8" t="s">
        <v>37</v>
      </c>
    </row>
    <row r="402" customFormat="false" ht="15" hidden="false" customHeight="false" outlineLevel="0" collapsed="false">
      <c r="A402" s="11" t="s">
        <v>221</v>
      </c>
      <c r="B402" s="12" t="s">
        <v>222</v>
      </c>
      <c r="C402" s="12" t="s">
        <v>38</v>
      </c>
      <c r="D402" s="13" t="s">
        <v>39</v>
      </c>
      <c r="E402" s="14" t="n">
        <v>5</v>
      </c>
      <c r="F402" s="13"/>
    </row>
    <row r="403" customFormat="false" ht="15" hidden="false" customHeight="false" outlineLevel="0" collapsed="false">
      <c r="A403" s="11" t="s">
        <v>221</v>
      </c>
      <c r="B403" s="12" t="s">
        <v>222</v>
      </c>
      <c r="C403" s="12" t="s">
        <v>38</v>
      </c>
      <c r="D403" s="15" t="s">
        <v>40</v>
      </c>
      <c r="E403" s="14" t="n">
        <v>5</v>
      </c>
      <c r="F403" s="13"/>
    </row>
    <row r="404" customFormat="false" ht="15" hidden="false" customHeight="false" outlineLevel="0" collapsed="false">
      <c r="A404" s="11" t="s">
        <v>221</v>
      </c>
      <c r="B404" s="12" t="s">
        <v>222</v>
      </c>
      <c r="C404" s="12" t="s">
        <v>38</v>
      </c>
      <c r="D404" s="13" t="s">
        <v>224</v>
      </c>
      <c r="E404" s="14" t="n">
        <v>5</v>
      </c>
      <c r="F404" s="15" t="s">
        <v>42</v>
      </c>
    </row>
    <row r="405" customFormat="false" ht="15" hidden="false" customHeight="false" outlineLevel="0" collapsed="false">
      <c r="A405" s="11" t="s">
        <v>221</v>
      </c>
      <c r="B405" s="12" t="s">
        <v>222</v>
      </c>
      <c r="C405" s="12" t="s">
        <v>38</v>
      </c>
      <c r="D405" s="15" t="s">
        <v>43</v>
      </c>
      <c r="E405" s="14" t="n">
        <v>5</v>
      </c>
      <c r="F405" s="13"/>
    </row>
    <row r="406" customFormat="false" ht="44" hidden="false" customHeight="false" outlineLevel="0" collapsed="false">
      <c r="A406" s="16" t="s">
        <v>221</v>
      </c>
      <c r="B406" s="17" t="s">
        <v>222</v>
      </c>
      <c r="C406" s="16" t="s">
        <v>44</v>
      </c>
      <c r="D406" s="18" t="s">
        <v>45</v>
      </c>
      <c r="E406" s="19" t="n">
        <v>4</v>
      </c>
      <c r="F406" s="18" t="s">
        <v>46</v>
      </c>
    </row>
    <row r="407" customFormat="false" ht="29.85" hidden="false" customHeight="false" outlineLevel="0" collapsed="false">
      <c r="A407" s="16" t="s">
        <v>221</v>
      </c>
      <c r="B407" s="17" t="s">
        <v>222</v>
      </c>
      <c r="C407" s="16" t="s">
        <v>44</v>
      </c>
      <c r="D407" s="18" t="s">
        <v>47</v>
      </c>
      <c r="E407" s="19" t="n">
        <v>3</v>
      </c>
      <c r="F407" s="18" t="s">
        <v>48</v>
      </c>
    </row>
    <row r="408" customFormat="false" ht="44" hidden="false" customHeight="false" outlineLevel="0" collapsed="false">
      <c r="A408" s="16" t="s">
        <v>221</v>
      </c>
      <c r="B408" s="17" t="s">
        <v>222</v>
      </c>
      <c r="C408" s="16" t="s">
        <v>44</v>
      </c>
      <c r="D408" s="18" t="s">
        <v>49</v>
      </c>
      <c r="E408" s="19" t="n">
        <v>4</v>
      </c>
      <c r="F408" s="18" t="s">
        <v>50</v>
      </c>
    </row>
    <row r="409" customFormat="false" ht="58.2" hidden="false" customHeight="false" outlineLevel="0" collapsed="false">
      <c r="A409" s="16" t="s">
        <v>221</v>
      </c>
      <c r="B409" s="17" t="s">
        <v>222</v>
      </c>
      <c r="C409" s="16" t="s">
        <v>44</v>
      </c>
      <c r="D409" s="18" t="s">
        <v>51</v>
      </c>
      <c r="E409" s="19" t="n">
        <v>4</v>
      </c>
      <c r="F409" s="18" t="s">
        <v>225</v>
      </c>
    </row>
    <row r="410" customFormat="false" ht="29.85" hidden="false" customHeight="false" outlineLevel="0" collapsed="false">
      <c r="A410" s="16" t="s">
        <v>221</v>
      </c>
      <c r="B410" s="17" t="s">
        <v>222</v>
      </c>
      <c r="C410" s="16" t="s">
        <v>44</v>
      </c>
      <c r="D410" s="18" t="s">
        <v>53</v>
      </c>
      <c r="E410" s="19" t="n">
        <v>3</v>
      </c>
      <c r="F410" s="18" t="s">
        <v>54</v>
      </c>
    </row>
    <row r="411" customFormat="false" ht="44" hidden="false" customHeight="false" outlineLevel="0" collapsed="false">
      <c r="A411" s="16" t="s">
        <v>221</v>
      </c>
      <c r="B411" s="17" t="s">
        <v>222</v>
      </c>
      <c r="C411" s="16" t="s">
        <v>44</v>
      </c>
      <c r="D411" s="18" t="s">
        <v>55</v>
      </c>
      <c r="E411" s="19" t="n">
        <v>2</v>
      </c>
      <c r="F411" s="18" t="s">
        <v>56</v>
      </c>
    </row>
    <row r="412" customFormat="false" ht="15" hidden="false" customHeight="false" outlineLevel="0" collapsed="false">
      <c r="A412" s="20" t="s">
        <v>221</v>
      </c>
      <c r="B412" s="21" t="s">
        <v>222</v>
      </c>
      <c r="C412" s="21" t="s">
        <v>57</v>
      </c>
      <c r="D412" s="22" t="s">
        <v>190</v>
      </c>
      <c r="E412" s="23" t="n">
        <v>6</v>
      </c>
      <c r="F412" s="22"/>
    </row>
    <row r="413" customFormat="false" ht="15" hidden="false" customHeight="false" outlineLevel="0" collapsed="false">
      <c r="A413" s="20" t="s">
        <v>221</v>
      </c>
      <c r="B413" s="21" t="s">
        <v>222</v>
      </c>
      <c r="C413" s="21" t="s">
        <v>57</v>
      </c>
      <c r="D413" s="22" t="s">
        <v>226</v>
      </c>
      <c r="E413" s="23" t="n">
        <v>3</v>
      </c>
      <c r="F413" s="22"/>
    </row>
    <row r="414" customFormat="false" ht="15" hidden="false" customHeight="false" outlineLevel="0" collapsed="false">
      <c r="A414" s="20" t="s">
        <v>221</v>
      </c>
      <c r="B414" s="21" t="s">
        <v>222</v>
      </c>
      <c r="C414" s="21" t="s">
        <v>57</v>
      </c>
      <c r="D414" s="24" t="s">
        <v>227</v>
      </c>
      <c r="E414" s="23" t="n">
        <v>6</v>
      </c>
      <c r="F414" s="22"/>
    </row>
    <row r="415" customFormat="false" ht="29.85" hidden="false" customHeight="false" outlineLevel="0" collapsed="false">
      <c r="A415" s="20" t="s">
        <v>221</v>
      </c>
      <c r="B415" s="21" t="s">
        <v>222</v>
      </c>
      <c r="C415" s="21" t="s">
        <v>57</v>
      </c>
      <c r="D415" s="24" t="s">
        <v>228</v>
      </c>
      <c r="E415" s="23" t="n">
        <v>5</v>
      </c>
      <c r="F415" s="22"/>
    </row>
    <row r="416" customFormat="false" ht="15" hidden="false" customHeight="false" outlineLevel="0" collapsed="false">
      <c r="A416" s="6" t="s">
        <v>229</v>
      </c>
      <c r="B416" s="7" t="s">
        <v>230</v>
      </c>
      <c r="C416" s="7" t="s">
        <v>26</v>
      </c>
      <c r="D416" s="8" t="s">
        <v>231</v>
      </c>
      <c r="E416" s="9" t="n">
        <v>8</v>
      </c>
      <c r="F416" s="8" t="s">
        <v>28</v>
      </c>
    </row>
    <row r="417" customFormat="false" ht="15" hidden="false" customHeight="false" outlineLevel="0" collapsed="false">
      <c r="A417" s="6" t="s">
        <v>229</v>
      </c>
      <c r="B417" s="7" t="s">
        <v>230</v>
      </c>
      <c r="C417" s="7" t="s">
        <v>26</v>
      </c>
      <c r="D417" s="10" t="s">
        <v>29</v>
      </c>
      <c r="E417" s="9" t="n">
        <v>5</v>
      </c>
      <c r="F417" s="10"/>
    </row>
    <row r="418" customFormat="false" ht="15" hidden="false" customHeight="false" outlineLevel="0" collapsed="false">
      <c r="A418" s="6" t="s">
        <v>229</v>
      </c>
      <c r="B418" s="7" t="s">
        <v>230</v>
      </c>
      <c r="C418" s="7" t="s">
        <v>26</v>
      </c>
      <c r="D418" s="8" t="s">
        <v>30</v>
      </c>
      <c r="E418" s="9" t="n">
        <v>4</v>
      </c>
      <c r="F418" s="10"/>
    </row>
    <row r="419" customFormat="false" ht="15" hidden="false" customHeight="false" outlineLevel="0" collapsed="false">
      <c r="A419" s="6" t="s">
        <v>229</v>
      </c>
      <c r="B419" s="7" t="s">
        <v>230</v>
      </c>
      <c r="C419" s="7" t="s">
        <v>26</v>
      </c>
      <c r="D419" s="8" t="s">
        <v>31</v>
      </c>
      <c r="E419" s="9" t="n">
        <v>4</v>
      </c>
      <c r="F419" s="10"/>
    </row>
    <row r="420" customFormat="false" ht="15" hidden="false" customHeight="false" outlineLevel="0" collapsed="false">
      <c r="A420" s="6" t="s">
        <v>229</v>
      </c>
      <c r="B420" s="7" t="s">
        <v>230</v>
      </c>
      <c r="C420" s="7" t="s">
        <v>26</v>
      </c>
      <c r="D420" s="8" t="s">
        <v>32</v>
      </c>
      <c r="E420" s="9" t="n">
        <v>4</v>
      </c>
      <c r="F420" s="10"/>
    </row>
    <row r="421" customFormat="false" ht="15" hidden="false" customHeight="false" outlineLevel="0" collapsed="false">
      <c r="A421" s="6" t="s">
        <v>229</v>
      </c>
      <c r="B421" s="7" t="s">
        <v>230</v>
      </c>
      <c r="C421" s="7" t="s">
        <v>26</v>
      </c>
      <c r="D421" s="8" t="s">
        <v>33</v>
      </c>
      <c r="E421" s="9" t="n">
        <v>4</v>
      </c>
      <c r="F421" s="10"/>
    </row>
    <row r="422" customFormat="false" ht="15" hidden="false" customHeight="false" outlineLevel="0" collapsed="false">
      <c r="A422" s="6" t="s">
        <v>229</v>
      </c>
      <c r="B422" s="7" t="s">
        <v>230</v>
      </c>
      <c r="C422" s="7" t="s">
        <v>26</v>
      </c>
      <c r="D422" s="8" t="s">
        <v>34</v>
      </c>
      <c r="E422" s="9" t="n">
        <v>4</v>
      </c>
      <c r="F422" s="10"/>
    </row>
    <row r="423" customFormat="false" ht="15" hidden="false" customHeight="false" outlineLevel="0" collapsed="false">
      <c r="A423" s="6" t="s">
        <v>229</v>
      </c>
      <c r="B423" s="7" t="s">
        <v>230</v>
      </c>
      <c r="C423" s="7" t="s">
        <v>26</v>
      </c>
      <c r="D423" s="8" t="s">
        <v>35</v>
      </c>
      <c r="E423" s="9" t="n">
        <v>4</v>
      </c>
      <c r="F423" s="10"/>
    </row>
    <row r="424" customFormat="false" ht="15" hidden="false" customHeight="false" outlineLevel="0" collapsed="false">
      <c r="A424" s="6" t="s">
        <v>229</v>
      </c>
      <c r="B424" s="7" t="s">
        <v>230</v>
      </c>
      <c r="C424" s="7" t="s">
        <v>26</v>
      </c>
      <c r="D424" s="8" t="s">
        <v>36</v>
      </c>
      <c r="E424" s="9" t="n">
        <v>3</v>
      </c>
      <c r="F424" s="8" t="s">
        <v>232</v>
      </c>
    </row>
    <row r="425" customFormat="false" ht="15" hidden="false" customHeight="false" outlineLevel="0" collapsed="false">
      <c r="A425" s="11" t="s">
        <v>229</v>
      </c>
      <c r="B425" s="12" t="s">
        <v>230</v>
      </c>
      <c r="C425" s="12" t="s">
        <v>38</v>
      </c>
      <c r="D425" s="13" t="s">
        <v>39</v>
      </c>
      <c r="E425" s="14" t="n">
        <v>5</v>
      </c>
      <c r="F425" s="13"/>
    </row>
    <row r="426" customFormat="false" ht="15" hidden="false" customHeight="false" outlineLevel="0" collapsed="false">
      <c r="A426" s="11" t="s">
        <v>229</v>
      </c>
      <c r="B426" s="12" t="s">
        <v>230</v>
      </c>
      <c r="C426" s="12" t="s">
        <v>38</v>
      </c>
      <c r="D426" s="15" t="s">
        <v>40</v>
      </c>
      <c r="E426" s="14" t="n">
        <v>5</v>
      </c>
      <c r="F426" s="13"/>
    </row>
    <row r="427" customFormat="false" ht="15" hidden="false" customHeight="false" outlineLevel="0" collapsed="false">
      <c r="A427" s="11" t="s">
        <v>229</v>
      </c>
      <c r="B427" s="12" t="s">
        <v>230</v>
      </c>
      <c r="C427" s="12" t="s">
        <v>38</v>
      </c>
      <c r="D427" s="13" t="s">
        <v>78</v>
      </c>
      <c r="E427" s="14" t="n">
        <v>5</v>
      </c>
      <c r="F427" s="15" t="s">
        <v>42</v>
      </c>
    </row>
    <row r="428" customFormat="false" ht="15" hidden="false" customHeight="false" outlineLevel="0" collapsed="false">
      <c r="A428" s="11" t="s">
        <v>229</v>
      </c>
      <c r="B428" s="12" t="s">
        <v>230</v>
      </c>
      <c r="C428" s="12" t="s">
        <v>38</v>
      </c>
      <c r="D428" s="15" t="s">
        <v>43</v>
      </c>
      <c r="E428" s="14" t="n">
        <v>5</v>
      </c>
      <c r="F428" s="13"/>
    </row>
    <row r="429" customFormat="false" ht="44" hidden="false" customHeight="false" outlineLevel="0" collapsed="false">
      <c r="A429" s="16" t="s">
        <v>229</v>
      </c>
      <c r="B429" s="17" t="s">
        <v>230</v>
      </c>
      <c r="C429" s="16" t="s">
        <v>44</v>
      </c>
      <c r="D429" s="18" t="s">
        <v>45</v>
      </c>
      <c r="E429" s="19" t="n">
        <v>4</v>
      </c>
      <c r="F429" s="18" t="s">
        <v>46</v>
      </c>
    </row>
    <row r="430" customFormat="false" ht="29.85" hidden="false" customHeight="false" outlineLevel="0" collapsed="false">
      <c r="A430" s="16" t="s">
        <v>229</v>
      </c>
      <c r="B430" s="17" t="s">
        <v>230</v>
      </c>
      <c r="C430" s="16" t="s">
        <v>44</v>
      </c>
      <c r="D430" s="18" t="s">
        <v>47</v>
      </c>
      <c r="E430" s="19" t="n">
        <v>3</v>
      </c>
      <c r="F430" s="18" t="s">
        <v>48</v>
      </c>
    </row>
    <row r="431" customFormat="false" ht="44" hidden="false" customHeight="false" outlineLevel="0" collapsed="false">
      <c r="A431" s="16" t="s">
        <v>229</v>
      </c>
      <c r="B431" s="17" t="s">
        <v>230</v>
      </c>
      <c r="C431" s="16" t="s">
        <v>44</v>
      </c>
      <c r="D431" s="18" t="s">
        <v>49</v>
      </c>
      <c r="E431" s="19" t="n">
        <v>4</v>
      </c>
      <c r="F431" s="18" t="s">
        <v>233</v>
      </c>
    </row>
    <row r="432" customFormat="false" ht="58.2" hidden="false" customHeight="false" outlineLevel="0" collapsed="false">
      <c r="A432" s="16" t="s">
        <v>229</v>
      </c>
      <c r="B432" s="17" t="s">
        <v>230</v>
      </c>
      <c r="C432" s="16" t="s">
        <v>44</v>
      </c>
      <c r="D432" s="18" t="s">
        <v>51</v>
      </c>
      <c r="E432" s="19" t="n">
        <v>4</v>
      </c>
      <c r="F432" s="18" t="s">
        <v>234</v>
      </c>
    </row>
    <row r="433" customFormat="false" ht="29.85" hidden="false" customHeight="false" outlineLevel="0" collapsed="false">
      <c r="A433" s="16" t="s">
        <v>229</v>
      </c>
      <c r="B433" s="17" t="s">
        <v>230</v>
      </c>
      <c r="C433" s="16" t="s">
        <v>44</v>
      </c>
      <c r="D433" s="18" t="s">
        <v>53</v>
      </c>
      <c r="E433" s="19" t="n">
        <v>3</v>
      </c>
      <c r="F433" s="18" t="s">
        <v>54</v>
      </c>
    </row>
    <row r="434" customFormat="false" ht="44" hidden="false" customHeight="false" outlineLevel="0" collapsed="false">
      <c r="A434" s="16" t="s">
        <v>229</v>
      </c>
      <c r="B434" s="17" t="s">
        <v>230</v>
      </c>
      <c r="C434" s="16" t="s">
        <v>44</v>
      </c>
      <c r="D434" s="18" t="s">
        <v>55</v>
      </c>
      <c r="E434" s="19" t="n">
        <v>2</v>
      </c>
      <c r="F434" s="18" t="s">
        <v>56</v>
      </c>
    </row>
    <row r="435" customFormat="false" ht="15" hidden="false" customHeight="false" outlineLevel="0" collapsed="false">
      <c r="A435" s="20" t="s">
        <v>229</v>
      </c>
      <c r="B435" s="21" t="s">
        <v>230</v>
      </c>
      <c r="C435" s="21" t="s">
        <v>57</v>
      </c>
      <c r="D435" s="22" t="s">
        <v>235</v>
      </c>
      <c r="E435" s="23" t="n">
        <v>6</v>
      </c>
      <c r="F435" s="22"/>
    </row>
    <row r="436" customFormat="false" ht="15" hidden="false" customHeight="false" outlineLevel="0" collapsed="false">
      <c r="A436" s="20" t="s">
        <v>229</v>
      </c>
      <c r="B436" s="21" t="s">
        <v>230</v>
      </c>
      <c r="C436" s="21" t="s">
        <v>57</v>
      </c>
      <c r="D436" s="22" t="s">
        <v>236</v>
      </c>
      <c r="E436" s="23" t="n">
        <v>3</v>
      </c>
      <c r="F436" s="22"/>
    </row>
    <row r="437" customFormat="false" ht="26.85" hidden="false" customHeight="false" outlineLevel="0" collapsed="false">
      <c r="A437" s="20" t="s">
        <v>229</v>
      </c>
      <c r="B437" s="21" t="s">
        <v>230</v>
      </c>
      <c r="C437" s="21" t="s">
        <v>57</v>
      </c>
      <c r="D437" s="24" t="s">
        <v>237</v>
      </c>
      <c r="E437" s="23" t="n">
        <v>6</v>
      </c>
      <c r="F437" s="22"/>
    </row>
    <row r="438" customFormat="false" ht="29.85" hidden="false" customHeight="false" outlineLevel="0" collapsed="false">
      <c r="A438" s="20" t="s">
        <v>229</v>
      </c>
      <c r="B438" s="21" t="s">
        <v>230</v>
      </c>
      <c r="C438" s="21" t="s">
        <v>57</v>
      </c>
      <c r="D438" s="24" t="s">
        <v>238</v>
      </c>
      <c r="E438" s="23" t="n">
        <v>5</v>
      </c>
      <c r="F438" s="22"/>
    </row>
    <row r="439" customFormat="false" ht="15" hidden="false" customHeight="false" outlineLevel="0" collapsed="false">
      <c r="A439" s="6" t="s">
        <v>239</v>
      </c>
      <c r="B439" s="7" t="s">
        <v>240</v>
      </c>
      <c r="C439" s="7" t="s">
        <v>26</v>
      </c>
      <c r="D439" s="8" t="s">
        <v>241</v>
      </c>
      <c r="E439" s="9" t="n">
        <v>8</v>
      </c>
      <c r="F439" s="8" t="s">
        <v>28</v>
      </c>
    </row>
    <row r="440" customFormat="false" ht="15" hidden="false" customHeight="false" outlineLevel="0" collapsed="false">
      <c r="A440" s="6" t="s">
        <v>239</v>
      </c>
      <c r="B440" s="7" t="s">
        <v>240</v>
      </c>
      <c r="C440" s="7" t="s">
        <v>26</v>
      </c>
      <c r="D440" s="10" t="s">
        <v>29</v>
      </c>
      <c r="E440" s="9" t="n">
        <v>5</v>
      </c>
      <c r="F440" s="10"/>
    </row>
    <row r="441" customFormat="false" ht="15" hidden="false" customHeight="false" outlineLevel="0" collapsed="false">
      <c r="A441" s="6" t="s">
        <v>239</v>
      </c>
      <c r="B441" s="7" t="s">
        <v>240</v>
      </c>
      <c r="C441" s="7" t="s">
        <v>26</v>
      </c>
      <c r="D441" s="8" t="s">
        <v>30</v>
      </c>
      <c r="E441" s="9" t="n">
        <v>4</v>
      </c>
      <c r="F441" s="10"/>
    </row>
    <row r="442" customFormat="false" ht="15" hidden="false" customHeight="false" outlineLevel="0" collapsed="false">
      <c r="A442" s="6" t="s">
        <v>239</v>
      </c>
      <c r="B442" s="7" t="s">
        <v>240</v>
      </c>
      <c r="C442" s="7" t="s">
        <v>26</v>
      </c>
      <c r="D442" s="8" t="s">
        <v>31</v>
      </c>
      <c r="E442" s="9" t="n">
        <v>4</v>
      </c>
      <c r="F442" s="10"/>
    </row>
    <row r="443" customFormat="false" ht="15" hidden="false" customHeight="false" outlineLevel="0" collapsed="false">
      <c r="A443" s="6" t="s">
        <v>239</v>
      </c>
      <c r="B443" s="7" t="s">
        <v>240</v>
      </c>
      <c r="C443" s="7" t="s">
        <v>26</v>
      </c>
      <c r="D443" s="8" t="s">
        <v>32</v>
      </c>
      <c r="E443" s="9" t="n">
        <v>4</v>
      </c>
      <c r="F443" s="10"/>
    </row>
    <row r="444" customFormat="false" ht="15" hidden="false" customHeight="false" outlineLevel="0" collapsed="false">
      <c r="A444" s="6" t="s">
        <v>239</v>
      </c>
      <c r="B444" s="7" t="s">
        <v>240</v>
      </c>
      <c r="C444" s="7" t="s">
        <v>26</v>
      </c>
      <c r="D444" s="8" t="s">
        <v>33</v>
      </c>
      <c r="E444" s="9" t="n">
        <v>4</v>
      </c>
      <c r="F444" s="10"/>
    </row>
    <row r="445" customFormat="false" ht="15" hidden="false" customHeight="false" outlineLevel="0" collapsed="false">
      <c r="A445" s="6" t="s">
        <v>239</v>
      </c>
      <c r="B445" s="7" t="s">
        <v>240</v>
      </c>
      <c r="C445" s="7" t="s">
        <v>26</v>
      </c>
      <c r="D445" s="8" t="s">
        <v>34</v>
      </c>
      <c r="E445" s="9" t="n">
        <v>4</v>
      </c>
      <c r="F445" s="10"/>
    </row>
    <row r="446" customFormat="false" ht="15" hidden="false" customHeight="false" outlineLevel="0" collapsed="false">
      <c r="A446" s="6" t="s">
        <v>239</v>
      </c>
      <c r="B446" s="7" t="s">
        <v>240</v>
      </c>
      <c r="C446" s="7" t="s">
        <v>26</v>
      </c>
      <c r="D446" s="8" t="s">
        <v>35</v>
      </c>
      <c r="E446" s="9" t="n">
        <v>4</v>
      </c>
      <c r="F446" s="10"/>
    </row>
    <row r="447" customFormat="false" ht="15" hidden="false" customHeight="false" outlineLevel="0" collapsed="false">
      <c r="A447" s="6" t="s">
        <v>239</v>
      </c>
      <c r="B447" s="7" t="s">
        <v>240</v>
      </c>
      <c r="C447" s="7" t="s">
        <v>26</v>
      </c>
      <c r="D447" s="8" t="s">
        <v>36</v>
      </c>
      <c r="E447" s="9" t="n">
        <v>3</v>
      </c>
      <c r="F447" s="8" t="s">
        <v>242</v>
      </c>
    </row>
    <row r="448" customFormat="false" ht="15" hidden="false" customHeight="false" outlineLevel="0" collapsed="false">
      <c r="A448" s="11" t="s">
        <v>239</v>
      </c>
      <c r="B448" s="12" t="s">
        <v>240</v>
      </c>
      <c r="C448" s="12" t="s">
        <v>38</v>
      </c>
      <c r="D448" s="13" t="s">
        <v>39</v>
      </c>
      <c r="E448" s="14" t="n">
        <v>5</v>
      </c>
      <c r="F448" s="13"/>
    </row>
    <row r="449" customFormat="false" ht="15" hidden="false" customHeight="false" outlineLevel="0" collapsed="false">
      <c r="A449" s="11" t="s">
        <v>239</v>
      </c>
      <c r="B449" s="12" t="s">
        <v>240</v>
      </c>
      <c r="C449" s="12" t="s">
        <v>38</v>
      </c>
      <c r="D449" s="15" t="s">
        <v>40</v>
      </c>
      <c r="E449" s="14" t="n">
        <v>5</v>
      </c>
      <c r="F449" s="13"/>
    </row>
    <row r="450" customFormat="false" ht="15" hidden="false" customHeight="false" outlineLevel="0" collapsed="false">
      <c r="A450" s="11" t="s">
        <v>239</v>
      </c>
      <c r="B450" s="12" t="s">
        <v>240</v>
      </c>
      <c r="C450" s="12" t="s">
        <v>38</v>
      </c>
      <c r="D450" s="15" t="s">
        <v>243</v>
      </c>
      <c r="E450" s="14" t="n">
        <v>5</v>
      </c>
      <c r="F450" s="15" t="s">
        <v>42</v>
      </c>
    </row>
    <row r="451" customFormat="false" ht="15" hidden="false" customHeight="false" outlineLevel="0" collapsed="false">
      <c r="A451" s="11" t="s">
        <v>239</v>
      </c>
      <c r="B451" s="12" t="s">
        <v>240</v>
      </c>
      <c r="C451" s="12" t="s">
        <v>38</v>
      </c>
      <c r="D451" s="15" t="s">
        <v>43</v>
      </c>
      <c r="E451" s="14" t="n">
        <v>5</v>
      </c>
      <c r="F451" s="13"/>
    </row>
    <row r="452" customFormat="false" ht="44" hidden="false" customHeight="false" outlineLevel="0" collapsed="false">
      <c r="A452" s="16" t="s">
        <v>239</v>
      </c>
      <c r="B452" s="17" t="s">
        <v>240</v>
      </c>
      <c r="C452" s="16" t="s">
        <v>44</v>
      </c>
      <c r="D452" s="18" t="s">
        <v>45</v>
      </c>
      <c r="E452" s="19" t="n">
        <v>4</v>
      </c>
      <c r="F452" s="18" t="s">
        <v>46</v>
      </c>
    </row>
    <row r="453" customFormat="false" ht="29.85" hidden="false" customHeight="false" outlineLevel="0" collapsed="false">
      <c r="A453" s="16" t="s">
        <v>239</v>
      </c>
      <c r="B453" s="17" t="s">
        <v>240</v>
      </c>
      <c r="C453" s="16" t="s">
        <v>44</v>
      </c>
      <c r="D453" s="18" t="s">
        <v>47</v>
      </c>
      <c r="E453" s="19" t="n">
        <v>3</v>
      </c>
      <c r="F453" s="18" t="s">
        <v>48</v>
      </c>
    </row>
    <row r="454" customFormat="false" ht="44" hidden="false" customHeight="false" outlineLevel="0" collapsed="false">
      <c r="A454" s="16" t="s">
        <v>239</v>
      </c>
      <c r="B454" s="17" t="s">
        <v>240</v>
      </c>
      <c r="C454" s="16" t="s">
        <v>44</v>
      </c>
      <c r="D454" s="18" t="s">
        <v>49</v>
      </c>
      <c r="E454" s="19" t="n">
        <v>4</v>
      </c>
      <c r="F454" s="18" t="s">
        <v>244</v>
      </c>
    </row>
    <row r="455" customFormat="false" ht="58.2" hidden="false" customHeight="false" outlineLevel="0" collapsed="false">
      <c r="A455" s="16" t="s">
        <v>239</v>
      </c>
      <c r="B455" s="17" t="s">
        <v>240</v>
      </c>
      <c r="C455" s="16" t="s">
        <v>44</v>
      </c>
      <c r="D455" s="18" t="s">
        <v>51</v>
      </c>
      <c r="E455" s="19" t="n">
        <v>4</v>
      </c>
      <c r="F455" s="18" t="s">
        <v>245</v>
      </c>
    </row>
    <row r="456" customFormat="false" ht="29.85" hidden="false" customHeight="false" outlineLevel="0" collapsed="false">
      <c r="A456" s="16" t="s">
        <v>239</v>
      </c>
      <c r="B456" s="17" t="s">
        <v>240</v>
      </c>
      <c r="C456" s="16" t="s">
        <v>44</v>
      </c>
      <c r="D456" s="18" t="s">
        <v>53</v>
      </c>
      <c r="E456" s="19" t="n">
        <v>3</v>
      </c>
      <c r="F456" s="18" t="s">
        <v>54</v>
      </c>
    </row>
    <row r="457" customFormat="false" ht="44" hidden="false" customHeight="false" outlineLevel="0" collapsed="false">
      <c r="A457" s="16" t="s">
        <v>239</v>
      </c>
      <c r="B457" s="17" t="s">
        <v>240</v>
      </c>
      <c r="C457" s="16" t="s">
        <v>44</v>
      </c>
      <c r="D457" s="18" t="s">
        <v>55</v>
      </c>
      <c r="E457" s="19" t="n">
        <v>2</v>
      </c>
      <c r="F457" s="18" t="s">
        <v>56</v>
      </c>
    </row>
    <row r="458" customFormat="false" ht="15" hidden="false" customHeight="false" outlineLevel="0" collapsed="false">
      <c r="A458" s="20" t="s">
        <v>239</v>
      </c>
      <c r="B458" s="21" t="s">
        <v>240</v>
      </c>
      <c r="C458" s="21" t="s">
        <v>57</v>
      </c>
      <c r="D458" s="22" t="s">
        <v>246</v>
      </c>
      <c r="E458" s="23" t="n">
        <v>6</v>
      </c>
      <c r="F458" s="22"/>
    </row>
    <row r="459" customFormat="false" ht="15" hidden="false" customHeight="false" outlineLevel="0" collapsed="false">
      <c r="A459" s="20" t="s">
        <v>239</v>
      </c>
      <c r="B459" s="21" t="s">
        <v>240</v>
      </c>
      <c r="C459" s="21" t="s">
        <v>57</v>
      </c>
      <c r="D459" s="22" t="s">
        <v>247</v>
      </c>
      <c r="E459" s="23" t="n">
        <v>3</v>
      </c>
      <c r="F459" s="22"/>
    </row>
    <row r="460" customFormat="false" ht="29.85" hidden="false" customHeight="false" outlineLevel="0" collapsed="false">
      <c r="A460" s="20" t="s">
        <v>239</v>
      </c>
      <c r="B460" s="21" t="s">
        <v>240</v>
      </c>
      <c r="C460" s="21" t="s">
        <v>57</v>
      </c>
      <c r="D460" s="24" t="s">
        <v>248</v>
      </c>
      <c r="E460" s="23" t="n">
        <v>6</v>
      </c>
      <c r="F460" s="22"/>
    </row>
    <row r="461" customFormat="false" ht="26.85" hidden="false" customHeight="false" outlineLevel="0" collapsed="false">
      <c r="A461" s="20" t="s">
        <v>239</v>
      </c>
      <c r="B461" s="21" t="s">
        <v>240</v>
      </c>
      <c r="C461" s="21" t="s">
        <v>57</v>
      </c>
      <c r="D461" s="24" t="s">
        <v>249</v>
      </c>
      <c r="E461" s="23" t="n">
        <v>5</v>
      </c>
      <c r="F461" s="22"/>
    </row>
    <row r="462" customFormat="false" ht="15" hidden="false" customHeight="false" outlineLevel="0" collapsed="false">
      <c r="A462" s="6" t="s">
        <v>250</v>
      </c>
      <c r="B462" s="7" t="s">
        <v>251</v>
      </c>
      <c r="C462" s="7" t="s">
        <v>26</v>
      </c>
      <c r="D462" s="8" t="s">
        <v>252</v>
      </c>
      <c r="E462" s="9" t="n">
        <v>8</v>
      </c>
      <c r="F462" s="8" t="s">
        <v>28</v>
      </c>
    </row>
    <row r="463" customFormat="false" ht="15" hidden="false" customHeight="false" outlineLevel="0" collapsed="false">
      <c r="A463" s="6" t="s">
        <v>250</v>
      </c>
      <c r="B463" s="7" t="s">
        <v>251</v>
      </c>
      <c r="C463" s="7" t="s">
        <v>26</v>
      </c>
      <c r="D463" s="10" t="s">
        <v>29</v>
      </c>
      <c r="E463" s="9" t="n">
        <v>5</v>
      </c>
      <c r="F463" s="10"/>
    </row>
    <row r="464" customFormat="false" ht="15" hidden="false" customHeight="false" outlineLevel="0" collapsed="false">
      <c r="A464" s="6" t="s">
        <v>250</v>
      </c>
      <c r="B464" s="7" t="s">
        <v>251</v>
      </c>
      <c r="C464" s="7" t="s">
        <v>26</v>
      </c>
      <c r="D464" s="8" t="s">
        <v>30</v>
      </c>
      <c r="E464" s="9" t="n">
        <v>4</v>
      </c>
      <c r="F464" s="10"/>
    </row>
    <row r="465" customFormat="false" ht="15" hidden="false" customHeight="false" outlineLevel="0" collapsed="false">
      <c r="A465" s="6" t="s">
        <v>250</v>
      </c>
      <c r="B465" s="7" t="s">
        <v>251</v>
      </c>
      <c r="C465" s="7" t="s">
        <v>26</v>
      </c>
      <c r="D465" s="8" t="s">
        <v>31</v>
      </c>
      <c r="E465" s="9" t="n">
        <v>4</v>
      </c>
      <c r="F465" s="10"/>
    </row>
    <row r="466" customFormat="false" ht="15" hidden="false" customHeight="false" outlineLevel="0" collapsed="false">
      <c r="A466" s="6" t="s">
        <v>250</v>
      </c>
      <c r="B466" s="7" t="s">
        <v>251</v>
      </c>
      <c r="C466" s="7" t="s">
        <v>26</v>
      </c>
      <c r="D466" s="8" t="s">
        <v>32</v>
      </c>
      <c r="E466" s="9" t="n">
        <v>4</v>
      </c>
      <c r="F466" s="10"/>
    </row>
    <row r="467" customFormat="false" ht="15" hidden="false" customHeight="false" outlineLevel="0" collapsed="false">
      <c r="A467" s="6" t="s">
        <v>250</v>
      </c>
      <c r="B467" s="7" t="s">
        <v>251</v>
      </c>
      <c r="C467" s="7" t="s">
        <v>26</v>
      </c>
      <c r="D467" s="8" t="s">
        <v>33</v>
      </c>
      <c r="E467" s="9" t="n">
        <v>4</v>
      </c>
      <c r="F467" s="10"/>
    </row>
    <row r="468" customFormat="false" ht="15" hidden="false" customHeight="false" outlineLevel="0" collapsed="false">
      <c r="A468" s="6" t="s">
        <v>250</v>
      </c>
      <c r="B468" s="7" t="s">
        <v>251</v>
      </c>
      <c r="C468" s="7" t="s">
        <v>26</v>
      </c>
      <c r="D468" s="8" t="s">
        <v>34</v>
      </c>
      <c r="E468" s="9" t="n">
        <v>4</v>
      </c>
      <c r="F468" s="10"/>
    </row>
    <row r="469" customFormat="false" ht="15" hidden="false" customHeight="false" outlineLevel="0" collapsed="false">
      <c r="A469" s="6" t="s">
        <v>250</v>
      </c>
      <c r="B469" s="7" t="s">
        <v>251</v>
      </c>
      <c r="C469" s="7" t="s">
        <v>26</v>
      </c>
      <c r="D469" s="8" t="s">
        <v>35</v>
      </c>
      <c r="E469" s="9" t="n">
        <v>4</v>
      </c>
      <c r="F469" s="10"/>
    </row>
    <row r="470" customFormat="false" ht="26.85" hidden="false" customHeight="false" outlineLevel="0" collapsed="false">
      <c r="A470" s="6" t="s">
        <v>250</v>
      </c>
      <c r="B470" s="7" t="s">
        <v>251</v>
      </c>
      <c r="C470" s="7" t="s">
        <v>26</v>
      </c>
      <c r="D470" s="8" t="s">
        <v>36</v>
      </c>
      <c r="E470" s="9" t="n">
        <v>3</v>
      </c>
      <c r="F470" s="8" t="s">
        <v>253</v>
      </c>
    </row>
    <row r="471" customFormat="false" ht="15" hidden="false" customHeight="false" outlineLevel="0" collapsed="false">
      <c r="A471" s="11" t="s">
        <v>250</v>
      </c>
      <c r="B471" s="12" t="s">
        <v>251</v>
      </c>
      <c r="C471" s="12" t="s">
        <v>38</v>
      </c>
      <c r="D471" s="13" t="s">
        <v>39</v>
      </c>
      <c r="E471" s="14" t="n">
        <v>5</v>
      </c>
      <c r="F471" s="13"/>
    </row>
    <row r="472" customFormat="false" ht="15" hidden="false" customHeight="false" outlineLevel="0" collapsed="false">
      <c r="A472" s="11" t="s">
        <v>250</v>
      </c>
      <c r="B472" s="12" t="s">
        <v>251</v>
      </c>
      <c r="C472" s="12" t="s">
        <v>38</v>
      </c>
      <c r="D472" s="15" t="s">
        <v>40</v>
      </c>
      <c r="E472" s="14" t="n">
        <v>5</v>
      </c>
      <c r="F472" s="13"/>
    </row>
    <row r="473" customFormat="false" ht="15" hidden="false" customHeight="false" outlineLevel="0" collapsed="false">
      <c r="A473" s="11" t="s">
        <v>250</v>
      </c>
      <c r="B473" s="12" t="s">
        <v>251</v>
      </c>
      <c r="C473" s="12" t="s">
        <v>38</v>
      </c>
      <c r="D473" s="15" t="s">
        <v>254</v>
      </c>
      <c r="E473" s="14" t="n">
        <v>5</v>
      </c>
      <c r="F473" s="15" t="s">
        <v>42</v>
      </c>
    </row>
    <row r="474" customFormat="false" ht="15" hidden="false" customHeight="false" outlineLevel="0" collapsed="false">
      <c r="A474" s="11" t="s">
        <v>250</v>
      </c>
      <c r="B474" s="12" t="s">
        <v>251</v>
      </c>
      <c r="C474" s="12" t="s">
        <v>38</v>
      </c>
      <c r="D474" s="15" t="s">
        <v>43</v>
      </c>
      <c r="E474" s="14" t="n">
        <v>5</v>
      </c>
      <c r="F474" s="13"/>
    </row>
    <row r="475" customFormat="false" ht="44" hidden="false" customHeight="false" outlineLevel="0" collapsed="false">
      <c r="A475" s="16" t="s">
        <v>250</v>
      </c>
      <c r="B475" s="17" t="s">
        <v>251</v>
      </c>
      <c r="C475" s="16" t="s">
        <v>44</v>
      </c>
      <c r="D475" s="18" t="s">
        <v>45</v>
      </c>
      <c r="E475" s="19" t="n">
        <v>4</v>
      </c>
      <c r="F475" s="18" t="s">
        <v>46</v>
      </c>
    </row>
    <row r="476" customFormat="false" ht="29.85" hidden="false" customHeight="false" outlineLevel="0" collapsed="false">
      <c r="A476" s="16" t="s">
        <v>250</v>
      </c>
      <c r="B476" s="17" t="s">
        <v>251</v>
      </c>
      <c r="C476" s="16" t="s">
        <v>44</v>
      </c>
      <c r="D476" s="18" t="s">
        <v>47</v>
      </c>
      <c r="E476" s="19" t="n">
        <v>3</v>
      </c>
      <c r="F476" s="18" t="s">
        <v>48</v>
      </c>
    </row>
    <row r="477" customFormat="false" ht="58.2" hidden="false" customHeight="false" outlineLevel="0" collapsed="false">
      <c r="A477" s="16" t="s">
        <v>250</v>
      </c>
      <c r="B477" s="17" t="s">
        <v>251</v>
      </c>
      <c r="C477" s="16" t="s">
        <v>44</v>
      </c>
      <c r="D477" s="18" t="s">
        <v>49</v>
      </c>
      <c r="E477" s="19" t="n">
        <v>4</v>
      </c>
      <c r="F477" s="18" t="s">
        <v>255</v>
      </c>
    </row>
    <row r="478" customFormat="false" ht="58.2" hidden="false" customHeight="false" outlineLevel="0" collapsed="false">
      <c r="A478" s="16" t="s">
        <v>250</v>
      </c>
      <c r="B478" s="17" t="s">
        <v>251</v>
      </c>
      <c r="C478" s="16" t="s">
        <v>44</v>
      </c>
      <c r="D478" s="18" t="s">
        <v>51</v>
      </c>
      <c r="E478" s="19" t="n">
        <v>4</v>
      </c>
      <c r="F478" s="18" t="s">
        <v>256</v>
      </c>
    </row>
    <row r="479" customFormat="false" ht="29.85" hidden="false" customHeight="false" outlineLevel="0" collapsed="false">
      <c r="A479" s="16" t="s">
        <v>250</v>
      </c>
      <c r="B479" s="17" t="s">
        <v>251</v>
      </c>
      <c r="C479" s="16" t="s">
        <v>44</v>
      </c>
      <c r="D479" s="18" t="s">
        <v>53</v>
      </c>
      <c r="E479" s="19" t="n">
        <v>3</v>
      </c>
      <c r="F479" s="18" t="s">
        <v>54</v>
      </c>
    </row>
    <row r="480" customFormat="false" ht="44" hidden="false" customHeight="false" outlineLevel="0" collapsed="false">
      <c r="A480" s="16" t="s">
        <v>250</v>
      </c>
      <c r="B480" s="17" t="s">
        <v>251</v>
      </c>
      <c r="C480" s="16" t="s">
        <v>44</v>
      </c>
      <c r="D480" s="18" t="s">
        <v>55</v>
      </c>
      <c r="E480" s="19" t="n">
        <v>2</v>
      </c>
      <c r="F480" s="18" t="s">
        <v>56</v>
      </c>
    </row>
    <row r="481" customFormat="false" ht="15" hidden="false" customHeight="false" outlineLevel="0" collapsed="false">
      <c r="A481" s="20" t="s">
        <v>250</v>
      </c>
      <c r="B481" s="21" t="s">
        <v>251</v>
      </c>
      <c r="C481" s="21" t="s">
        <v>57</v>
      </c>
      <c r="D481" s="22" t="s">
        <v>257</v>
      </c>
      <c r="E481" s="23" t="n">
        <v>6</v>
      </c>
      <c r="F481" s="22"/>
    </row>
    <row r="482" customFormat="false" ht="15" hidden="false" customHeight="false" outlineLevel="0" collapsed="false">
      <c r="A482" s="20" t="s">
        <v>250</v>
      </c>
      <c r="B482" s="21" t="s">
        <v>251</v>
      </c>
      <c r="C482" s="21" t="s">
        <v>57</v>
      </c>
      <c r="D482" s="22" t="s">
        <v>258</v>
      </c>
      <c r="E482" s="23" t="n">
        <v>3</v>
      </c>
      <c r="F482" s="22"/>
    </row>
    <row r="483" customFormat="false" ht="29.85" hidden="false" customHeight="false" outlineLevel="0" collapsed="false">
      <c r="A483" s="20" t="s">
        <v>250</v>
      </c>
      <c r="B483" s="21" t="s">
        <v>251</v>
      </c>
      <c r="C483" s="21" t="s">
        <v>57</v>
      </c>
      <c r="D483" s="24" t="s">
        <v>259</v>
      </c>
      <c r="E483" s="23" t="n">
        <v>6</v>
      </c>
      <c r="F483" s="22"/>
    </row>
    <row r="484" customFormat="false" ht="29.85" hidden="false" customHeight="false" outlineLevel="0" collapsed="false">
      <c r="A484" s="20" t="s">
        <v>250</v>
      </c>
      <c r="B484" s="21" t="s">
        <v>251</v>
      </c>
      <c r="C484" s="21" t="s">
        <v>57</v>
      </c>
      <c r="D484" s="24" t="s">
        <v>260</v>
      </c>
      <c r="E484" s="23" t="n">
        <v>5</v>
      </c>
      <c r="F484" s="22"/>
    </row>
    <row r="485" customFormat="false" ht="15" hidden="false" customHeight="false" outlineLevel="0" collapsed="false">
      <c r="A485" s="6" t="s">
        <v>261</v>
      </c>
      <c r="B485" s="7" t="s">
        <v>262</v>
      </c>
      <c r="C485" s="7" t="s">
        <v>26</v>
      </c>
      <c r="D485" s="10" t="s">
        <v>263</v>
      </c>
      <c r="E485" s="9" t="n">
        <v>8</v>
      </c>
      <c r="F485" s="8" t="s">
        <v>28</v>
      </c>
    </row>
    <row r="486" customFormat="false" ht="15" hidden="false" customHeight="false" outlineLevel="0" collapsed="false">
      <c r="A486" s="6" t="s">
        <v>261</v>
      </c>
      <c r="B486" s="7" t="s">
        <v>262</v>
      </c>
      <c r="C486" s="7" t="s">
        <v>26</v>
      </c>
      <c r="D486" s="10" t="s">
        <v>29</v>
      </c>
      <c r="E486" s="9" t="n">
        <v>5</v>
      </c>
      <c r="F486" s="10"/>
    </row>
    <row r="487" customFormat="false" ht="15" hidden="false" customHeight="false" outlineLevel="0" collapsed="false">
      <c r="A487" s="6" t="s">
        <v>261</v>
      </c>
      <c r="B487" s="7" t="s">
        <v>262</v>
      </c>
      <c r="C487" s="7" t="s">
        <v>26</v>
      </c>
      <c r="D487" s="8" t="s">
        <v>30</v>
      </c>
      <c r="E487" s="9" t="n">
        <v>4</v>
      </c>
      <c r="F487" s="10"/>
    </row>
    <row r="488" customFormat="false" ht="15" hidden="false" customHeight="false" outlineLevel="0" collapsed="false">
      <c r="A488" s="6" t="s">
        <v>261</v>
      </c>
      <c r="B488" s="7" t="s">
        <v>262</v>
      </c>
      <c r="C488" s="7" t="s">
        <v>26</v>
      </c>
      <c r="D488" s="8" t="s">
        <v>31</v>
      </c>
      <c r="E488" s="9" t="n">
        <v>4</v>
      </c>
      <c r="F488" s="10"/>
    </row>
    <row r="489" customFormat="false" ht="15" hidden="false" customHeight="false" outlineLevel="0" collapsed="false">
      <c r="A489" s="6" t="s">
        <v>261</v>
      </c>
      <c r="B489" s="7" t="s">
        <v>262</v>
      </c>
      <c r="C489" s="7" t="s">
        <v>26</v>
      </c>
      <c r="D489" s="8" t="s">
        <v>32</v>
      </c>
      <c r="E489" s="9" t="n">
        <v>4</v>
      </c>
      <c r="F489" s="10"/>
    </row>
    <row r="490" customFormat="false" ht="15" hidden="false" customHeight="false" outlineLevel="0" collapsed="false">
      <c r="A490" s="6" t="s">
        <v>261</v>
      </c>
      <c r="B490" s="7" t="s">
        <v>262</v>
      </c>
      <c r="C490" s="7" t="s">
        <v>26</v>
      </c>
      <c r="D490" s="8" t="s">
        <v>33</v>
      </c>
      <c r="E490" s="9" t="n">
        <v>4</v>
      </c>
      <c r="F490" s="10"/>
    </row>
    <row r="491" customFormat="false" ht="15" hidden="false" customHeight="false" outlineLevel="0" collapsed="false">
      <c r="A491" s="6" t="s">
        <v>261</v>
      </c>
      <c r="B491" s="7" t="s">
        <v>262</v>
      </c>
      <c r="C491" s="7" t="s">
        <v>26</v>
      </c>
      <c r="D491" s="8" t="s">
        <v>34</v>
      </c>
      <c r="E491" s="9" t="n">
        <v>4</v>
      </c>
      <c r="F491" s="10"/>
    </row>
    <row r="492" customFormat="false" ht="15" hidden="false" customHeight="false" outlineLevel="0" collapsed="false">
      <c r="A492" s="6" t="s">
        <v>261</v>
      </c>
      <c r="B492" s="7" t="s">
        <v>262</v>
      </c>
      <c r="C492" s="7" t="s">
        <v>26</v>
      </c>
      <c r="D492" s="8" t="s">
        <v>65</v>
      </c>
      <c r="E492" s="9" t="n">
        <v>4</v>
      </c>
      <c r="F492" s="10"/>
    </row>
    <row r="493" customFormat="false" ht="15" hidden="false" customHeight="false" outlineLevel="0" collapsed="false">
      <c r="A493" s="6" t="s">
        <v>261</v>
      </c>
      <c r="B493" s="7" t="s">
        <v>262</v>
      </c>
      <c r="C493" s="7" t="s">
        <v>26</v>
      </c>
      <c r="D493" s="8" t="s">
        <v>36</v>
      </c>
      <c r="E493" s="9" t="n">
        <v>3</v>
      </c>
      <c r="F493" s="8" t="s">
        <v>264</v>
      </c>
    </row>
    <row r="494" customFormat="false" ht="15" hidden="false" customHeight="false" outlineLevel="0" collapsed="false">
      <c r="A494" s="11" t="s">
        <v>261</v>
      </c>
      <c r="B494" s="12" t="s">
        <v>262</v>
      </c>
      <c r="C494" s="12" t="s">
        <v>38</v>
      </c>
      <c r="D494" s="13" t="s">
        <v>39</v>
      </c>
      <c r="E494" s="14" t="n">
        <v>5</v>
      </c>
      <c r="F494" s="13"/>
    </row>
    <row r="495" customFormat="false" ht="15" hidden="false" customHeight="false" outlineLevel="0" collapsed="false">
      <c r="A495" s="11" t="s">
        <v>261</v>
      </c>
      <c r="B495" s="12" t="s">
        <v>262</v>
      </c>
      <c r="C495" s="12" t="s">
        <v>38</v>
      </c>
      <c r="D495" s="15" t="s">
        <v>40</v>
      </c>
      <c r="E495" s="14" t="n">
        <v>5</v>
      </c>
      <c r="F495" s="13"/>
    </row>
    <row r="496" customFormat="false" ht="15" hidden="false" customHeight="false" outlineLevel="0" collapsed="false">
      <c r="A496" s="11" t="s">
        <v>261</v>
      </c>
      <c r="B496" s="12" t="s">
        <v>262</v>
      </c>
      <c r="C496" s="12" t="s">
        <v>38</v>
      </c>
      <c r="D496" s="15" t="s">
        <v>265</v>
      </c>
      <c r="E496" s="14" t="n">
        <v>5</v>
      </c>
      <c r="F496" s="15" t="s">
        <v>42</v>
      </c>
    </row>
    <row r="497" customFormat="false" ht="15" hidden="false" customHeight="false" outlineLevel="0" collapsed="false">
      <c r="A497" s="11" t="s">
        <v>261</v>
      </c>
      <c r="B497" s="12" t="s">
        <v>262</v>
      </c>
      <c r="C497" s="12" t="s">
        <v>38</v>
      </c>
      <c r="D497" s="15" t="s">
        <v>43</v>
      </c>
      <c r="E497" s="14" t="n">
        <v>5</v>
      </c>
      <c r="F497" s="13"/>
    </row>
    <row r="498" customFormat="false" ht="44" hidden="false" customHeight="false" outlineLevel="0" collapsed="false">
      <c r="A498" s="16" t="s">
        <v>261</v>
      </c>
      <c r="B498" s="17" t="s">
        <v>262</v>
      </c>
      <c r="C498" s="16" t="s">
        <v>44</v>
      </c>
      <c r="D498" s="18" t="s">
        <v>45</v>
      </c>
      <c r="E498" s="19" t="n">
        <v>4</v>
      </c>
      <c r="F498" s="18" t="s">
        <v>46</v>
      </c>
    </row>
    <row r="499" customFormat="false" ht="29.85" hidden="false" customHeight="false" outlineLevel="0" collapsed="false">
      <c r="A499" s="16" t="s">
        <v>261</v>
      </c>
      <c r="B499" s="17" t="s">
        <v>262</v>
      </c>
      <c r="C499" s="16" t="s">
        <v>44</v>
      </c>
      <c r="D499" s="18" t="s">
        <v>47</v>
      </c>
      <c r="E499" s="19" t="n">
        <v>3</v>
      </c>
      <c r="F499" s="18" t="s">
        <v>48</v>
      </c>
    </row>
    <row r="500" customFormat="false" ht="44" hidden="false" customHeight="false" outlineLevel="0" collapsed="false">
      <c r="A500" s="16" t="s">
        <v>261</v>
      </c>
      <c r="B500" s="17" t="s">
        <v>262</v>
      </c>
      <c r="C500" s="16" t="s">
        <v>44</v>
      </c>
      <c r="D500" s="18" t="s">
        <v>49</v>
      </c>
      <c r="E500" s="19" t="n">
        <v>4</v>
      </c>
      <c r="F500" s="18" t="s">
        <v>266</v>
      </c>
    </row>
    <row r="501" customFormat="false" ht="58.2" hidden="false" customHeight="false" outlineLevel="0" collapsed="false">
      <c r="A501" s="16" t="s">
        <v>261</v>
      </c>
      <c r="B501" s="17" t="s">
        <v>262</v>
      </c>
      <c r="C501" s="16" t="s">
        <v>44</v>
      </c>
      <c r="D501" s="18" t="s">
        <v>51</v>
      </c>
      <c r="E501" s="19" t="n">
        <v>4</v>
      </c>
      <c r="F501" s="18" t="s">
        <v>267</v>
      </c>
    </row>
    <row r="502" customFormat="false" ht="29.85" hidden="false" customHeight="false" outlineLevel="0" collapsed="false">
      <c r="A502" s="16" t="s">
        <v>261</v>
      </c>
      <c r="B502" s="17" t="s">
        <v>262</v>
      </c>
      <c r="C502" s="16" t="s">
        <v>44</v>
      </c>
      <c r="D502" s="18" t="s">
        <v>53</v>
      </c>
      <c r="E502" s="19" t="n">
        <v>3</v>
      </c>
      <c r="F502" s="18" t="s">
        <v>54</v>
      </c>
    </row>
    <row r="503" customFormat="false" ht="44" hidden="false" customHeight="false" outlineLevel="0" collapsed="false">
      <c r="A503" s="16" t="s">
        <v>261</v>
      </c>
      <c r="B503" s="17" t="s">
        <v>262</v>
      </c>
      <c r="C503" s="16" t="s">
        <v>44</v>
      </c>
      <c r="D503" s="18" t="s">
        <v>55</v>
      </c>
      <c r="E503" s="19" t="n">
        <v>2</v>
      </c>
      <c r="F503" s="18" t="s">
        <v>56</v>
      </c>
    </row>
    <row r="504" customFormat="false" ht="26.85" hidden="false" customHeight="false" outlineLevel="0" collapsed="false">
      <c r="A504" s="20" t="s">
        <v>261</v>
      </c>
      <c r="B504" s="21" t="s">
        <v>262</v>
      </c>
      <c r="C504" s="21" t="s">
        <v>57</v>
      </c>
      <c r="D504" s="22" t="s">
        <v>268</v>
      </c>
      <c r="E504" s="23" t="n">
        <v>6</v>
      </c>
      <c r="F504" s="22"/>
    </row>
    <row r="505" customFormat="false" ht="15" hidden="false" customHeight="false" outlineLevel="0" collapsed="false">
      <c r="A505" s="20" t="s">
        <v>261</v>
      </c>
      <c r="B505" s="21" t="s">
        <v>262</v>
      </c>
      <c r="C505" s="21" t="s">
        <v>57</v>
      </c>
      <c r="D505" s="22" t="s">
        <v>269</v>
      </c>
      <c r="E505" s="23" t="n">
        <v>3</v>
      </c>
      <c r="F505" s="22"/>
    </row>
    <row r="506" customFormat="false" ht="29.85" hidden="false" customHeight="false" outlineLevel="0" collapsed="false">
      <c r="A506" s="20" t="s">
        <v>261</v>
      </c>
      <c r="B506" s="21" t="s">
        <v>262</v>
      </c>
      <c r="C506" s="21" t="s">
        <v>57</v>
      </c>
      <c r="D506" s="24" t="s">
        <v>270</v>
      </c>
      <c r="E506" s="23" t="n">
        <v>6</v>
      </c>
      <c r="F506" s="22"/>
    </row>
    <row r="507" customFormat="false" ht="29.85" hidden="false" customHeight="false" outlineLevel="0" collapsed="false">
      <c r="A507" s="20" t="s">
        <v>261</v>
      </c>
      <c r="B507" s="21" t="s">
        <v>262</v>
      </c>
      <c r="C507" s="21" t="s">
        <v>57</v>
      </c>
      <c r="D507" s="24" t="s">
        <v>271</v>
      </c>
      <c r="E507" s="23" t="n">
        <v>5</v>
      </c>
      <c r="F507" s="22"/>
    </row>
    <row r="508" customFormat="false" ht="15" hidden="false" customHeight="false" outlineLevel="0" collapsed="false">
      <c r="A508" s="6" t="s">
        <v>272</v>
      </c>
      <c r="B508" s="7" t="s">
        <v>273</v>
      </c>
      <c r="C508" s="7" t="s">
        <v>26</v>
      </c>
      <c r="D508" s="8" t="s">
        <v>274</v>
      </c>
      <c r="E508" s="9" t="n">
        <v>8</v>
      </c>
      <c r="F508" s="8" t="s">
        <v>28</v>
      </c>
    </row>
    <row r="509" customFormat="false" ht="15" hidden="false" customHeight="false" outlineLevel="0" collapsed="false">
      <c r="A509" s="6" t="s">
        <v>272</v>
      </c>
      <c r="B509" s="7" t="s">
        <v>273</v>
      </c>
      <c r="C509" s="7" t="s">
        <v>26</v>
      </c>
      <c r="D509" s="10" t="s">
        <v>29</v>
      </c>
      <c r="E509" s="9" t="n">
        <v>5</v>
      </c>
      <c r="F509" s="10"/>
    </row>
    <row r="510" customFormat="false" ht="15" hidden="false" customHeight="false" outlineLevel="0" collapsed="false">
      <c r="A510" s="6" t="s">
        <v>272</v>
      </c>
      <c r="B510" s="7" t="s">
        <v>273</v>
      </c>
      <c r="C510" s="7" t="s">
        <v>26</v>
      </c>
      <c r="D510" s="8" t="s">
        <v>30</v>
      </c>
      <c r="E510" s="9" t="n">
        <v>4</v>
      </c>
      <c r="F510" s="10"/>
    </row>
    <row r="511" customFormat="false" ht="15" hidden="false" customHeight="false" outlineLevel="0" collapsed="false">
      <c r="A511" s="6" t="s">
        <v>272</v>
      </c>
      <c r="B511" s="7" t="s">
        <v>273</v>
      </c>
      <c r="C511" s="7" t="s">
        <v>26</v>
      </c>
      <c r="D511" s="8" t="s">
        <v>31</v>
      </c>
      <c r="E511" s="9" t="n">
        <v>4</v>
      </c>
      <c r="F511" s="10"/>
    </row>
    <row r="512" customFormat="false" ht="15" hidden="false" customHeight="false" outlineLevel="0" collapsed="false">
      <c r="A512" s="6" t="s">
        <v>272</v>
      </c>
      <c r="B512" s="7" t="s">
        <v>273</v>
      </c>
      <c r="C512" s="7" t="s">
        <v>26</v>
      </c>
      <c r="D512" s="8" t="s">
        <v>32</v>
      </c>
      <c r="E512" s="9" t="n">
        <v>4</v>
      </c>
      <c r="F512" s="10"/>
    </row>
    <row r="513" customFormat="false" ht="15" hidden="false" customHeight="false" outlineLevel="0" collapsed="false">
      <c r="A513" s="6" t="s">
        <v>272</v>
      </c>
      <c r="B513" s="7" t="s">
        <v>273</v>
      </c>
      <c r="C513" s="7" t="s">
        <v>26</v>
      </c>
      <c r="D513" s="8" t="s">
        <v>33</v>
      </c>
      <c r="E513" s="9" t="n">
        <v>4</v>
      </c>
      <c r="F513" s="10"/>
    </row>
    <row r="514" customFormat="false" ht="15" hidden="false" customHeight="false" outlineLevel="0" collapsed="false">
      <c r="A514" s="6" t="s">
        <v>272</v>
      </c>
      <c r="B514" s="7" t="s">
        <v>273</v>
      </c>
      <c r="C514" s="7" t="s">
        <v>26</v>
      </c>
      <c r="D514" s="8" t="s">
        <v>34</v>
      </c>
      <c r="E514" s="9" t="n">
        <v>4</v>
      </c>
      <c r="F514" s="10"/>
    </row>
    <row r="515" customFormat="false" ht="15" hidden="false" customHeight="false" outlineLevel="0" collapsed="false">
      <c r="A515" s="6" t="s">
        <v>272</v>
      </c>
      <c r="B515" s="7" t="s">
        <v>273</v>
      </c>
      <c r="C515" s="7" t="s">
        <v>26</v>
      </c>
      <c r="D515" s="8" t="s">
        <v>65</v>
      </c>
      <c r="E515" s="9" t="n">
        <v>4</v>
      </c>
      <c r="F515" s="10"/>
    </row>
    <row r="516" customFormat="false" ht="15" hidden="false" customHeight="false" outlineLevel="0" collapsed="false">
      <c r="A516" s="6" t="s">
        <v>272</v>
      </c>
      <c r="B516" s="7" t="s">
        <v>273</v>
      </c>
      <c r="C516" s="7" t="s">
        <v>26</v>
      </c>
      <c r="D516" s="8" t="s">
        <v>36</v>
      </c>
      <c r="E516" s="9" t="n">
        <v>3</v>
      </c>
      <c r="F516" s="8" t="s">
        <v>275</v>
      </c>
    </row>
    <row r="517" customFormat="false" ht="15" hidden="false" customHeight="false" outlineLevel="0" collapsed="false">
      <c r="A517" s="11" t="s">
        <v>272</v>
      </c>
      <c r="B517" s="12" t="s">
        <v>273</v>
      </c>
      <c r="C517" s="12" t="s">
        <v>38</v>
      </c>
      <c r="D517" s="13" t="s">
        <v>39</v>
      </c>
      <c r="E517" s="14" t="n">
        <v>5</v>
      </c>
      <c r="F517" s="13"/>
    </row>
    <row r="518" customFormat="false" ht="15" hidden="false" customHeight="false" outlineLevel="0" collapsed="false">
      <c r="A518" s="11" t="s">
        <v>272</v>
      </c>
      <c r="B518" s="12" t="s">
        <v>273</v>
      </c>
      <c r="C518" s="12" t="s">
        <v>38</v>
      </c>
      <c r="D518" s="15" t="s">
        <v>40</v>
      </c>
      <c r="E518" s="14" t="n">
        <v>5</v>
      </c>
      <c r="F518" s="13"/>
    </row>
    <row r="519" customFormat="false" ht="15" hidden="false" customHeight="false" outlineLevel="0" collapsed="false">
      <c r="A519" s="11" t="s">
        <v>272</v>
      </c>
      <c r="B519" s="12" t="s">
        <v>273</v>
      </c>
      <c r="C519" s="12" t="s">
        <v>38</v>
      </c>
      <c r="D519" s="15" t="s">
        <v>276</v>
      </c>
      <c r="E519" s="14" t="n">
        <v>5</v>
      </c>
      <c r="F519" s="15" t="s">
        <v>42</v>
      </c>
    </row>
    <row r="520" customFormat="false" ht="15" hidden="false" customHeight="false" outlineLevel="0" collapsed="false">
      <c r="A520" s="11" t="s">
        <v>272</v>
      </c>
      <c r="B520" s="12" t="s">
        <v>273</v>
      </c>
      <c r="C520" s="12" t="s">
        <v>38</v>
      </c>
      <c r="D520" s="15" t="s">
        <v>43</v>
      </c>
      <c r="E520" s="14" t="n">
        <v>5</v>
      </c>
      <c r="F520" s="13"/>
    </row>
    <row r="521" customFormat="false" ht="44" hidden="false" customHeight="false" outlineLevel="0" collapsed="false">
      <c r="A521" s="16" t="s">
        <v>272</v>
      </c>
      <c r="B521" s="17" t="s">
        <v>273</v>
      </c>
      <c r="C521" s="16" t="s">
        <v>44</v>
      </c>
      <c r="D521" s="18" t="s">
        <v>45</v>
      </c>
      <c r="E521" s="19" t="n">
        <v>4</v>
      </c>
      <c r="F521" s="18" t="s">
        <v>46</v>
      </c>
    </row>
    <row r="522" customFormat="false" ht="29.85" hidden="false" customHeight="false" outlineLevel="0" collapsed="false">
      <c r="A522" s="16" t="s">
        <v>272</v>
      </c>
      <c r="B522" s="17" t="s">
        <v>273</v>
      </c>
      <c r="C522" s="16" t="s">
        <v>44</v>
      </c>
      <c r="D522" s="18" t="s">
        <v>47</v>
      </c>
      <c r="E522" s="19" t="n">
        <v>3</v>
      </c>
      <c r="F522" s="18" t="s">
        <v>48</v>
      </c>
    </row>
    <row r="523" customFormat="false" ht="58.2" hidden="false" customHeight="false" outlineLevel="0" collapsed="false">
      <c r="A523" s="16" t="s">
        <v>272</v>
      </c>
      <c r="B523" s="17" t="s">
        <v>273</v>
      </c>
      <c r="C523" s="16" t="s">
        <v>44</v>
      </c>
      <c r="D523" s="18" t="s">
        <v>49</v>
      </c>
      <c r="E523" s="19" t="n">
        <v>4</v>
      </c>
      <c r="F523" s="18" t="s">
        <v>277</v>
      </c>
    </row>
    <row r="524" customFormat="false" ht="72.35" hidden="false" customHeight="false" outlineLevel="0" collapsed="false">
      <c r="A524" s="16" t="s">
        <v>272</v>
      </c>
      <c r="B524" s="17" t="s">
        <v>273</v>
      </c>
      <c r="C524" s="16" t="s">
        <v>44</v>
      </c>
      <c r="D524" s="18" t="s">
        <v>51</v>
      </c>
      <c r="E524" s="19" t="n">
        <v>4</v>
      </c>
      <c r="F524" s="18" t="s">
        <v>278</v>
      </c>
    </row>
    <row r="525" customFormat="false" ht="29.85" hidden="false" customHeight="false" outlineLevel="0" collapsed="false">
      <c r="A525" s="16" t="s">
        <v>272</v>
      </c>
      <c r="B525" s="17" t="s">
        <v>273</v>
      </c>
      <c r="C525" s="16" t="s">
        <v>44</v>
      </c>
      <c r="D525" s="18" t="s">
        <v>53</v>
      </c>
      <c r="E525" s="19" t="n">
        <v>3</v>
      </c>
      <c r="F525" s="18" t="s">
        <v>54</v>
      </c>
    </row>
    <row r="526" customFormat="false" ht="44" hidden="false" customHeight="false" outlineLevel="0" collapsed="false">
      <c r="A526" s="16" t="s">
        <v>272</v>
      </c>
      <c r="B526" s="17" t="s">
        <v>273</v>
      </c>
      <c r="C526" s="16" t="s">
        <v>44</v>
      </c>
      <c r="D526" s="18" t="s">
        <v>55</v>
      </c>
      <c r="E526" s="19" t="n">
        <v>2</v>
      </c>
      <c r="F526" s="18" t="s">
        <v>56</v>
      </c>
    </row>
    <row r="527" customFormat="false" ht="15" hidden="false" customHeight="false" outlineLevel="0" collapsed="false">
      <c r="A527" s="20" t="s">
        <v>272</v>
      </c>
      <c r="B527" s="21" t="s">
        <v>273</v>
      </c>
      <c r="C527" s="21" t="s">
        <v>57</v>
      </c>
      <c r="D527" s="22" t="s">
        <v>279</v>
      </c>
      <c r="E527" s="23" t="n">
        <v>6</v>
      </c>
      <c r="F527" s="22"/>
    </row>
    <row r="528" customFormat="false" ht="15" hidden="false" customHeight="false" outlineLevel="0" collapsed="false">
      <c r="A528" s="20" t="s">
        <v>272</v>
      </c>
      <c r="B528" s="21" t="s">
        <v>273</v>
      </c>
      <c r="C528" s="21" t="s">
        <v>57</v>
      </c>
      <c r="D528" s="22" t="s">
        <v>280</v>
      </c>
      <c r="E528" s="23" t="n">
        <v>3</v>
      </c>
      <c r="F528" s="22"/>
    </row>
    <row r="529" customFormat="false" ht="26.85" hidden="false" customHeight="false" outlineLevel="0" collapsed="false">
      <c r="A529" s="20" t="s">
        <v>272</v>
      </c>
      <c r="B529" s="21" t="s">
        <v>273</v>
      </c>
      <c r="C529" s="21" t="s">
        <v>57</v>
      </c>
      <c r="D529" s="24" t="s">
        <v>281</v>
      </c>
      <c r="E529" s="23" t="n">
        <v>6</v>
      </c>
      <c r="F529" s="22"/>
    </row>
    <row r="530" customFormat="false" ht="29.85" hidden="false" customHeight="false" outlineLevel="0" collapsed="false">
      <c r="A530" s="20" t="s">
        <v>272</v>
      </c>
      <c r="B530" s="21" t="s">
        <v>273</v>
      </c>
      <c r="C530" s="21" t="s">
        <v>57</v>
      </c>
      <c r="D530" s="24" t="s">
        <v>282</v>
      </c>
      <c r="E530" s="23" t="n">
        <v>5</v>
      </c>
      <c r="F530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25" t="s">
        <v>18</v>
      </c>
      <c r="B1" s="25" t="s">
        <v>19</v>
      </c>
      <c r="C1" s="25" t="s">
        <v>283</v>
      </c>
      <c r="D1" s="25" t="s">
        <v>284</v>
      </c>
      <c r="E1" s="26" t="s">
        <v>285</v>
      </c>
      <c r="F1" s="25" t="s">
        <v>286</v>
      </c>
      <c r="G1" s="25" t="s">
        <v>287</v>
      </c>
    </row>
    <row r="2" customFormat="false" ht="17.15" hidden="false" customHeight="false" outlineLevel="0" collapsed="false">
      <c r="A2" s="2" t="s">
        <v>24</v>
      </c>
      <c r="B2" s="27" t="s">
        <v>288</v>
      </c>
      <c r="C2" s="28" t="n">
        <f aca="false">SUMIFS(세부체크리스트!$E$2:$E$530,세부체크리스트!$A$2:$A$530,$A2,세부체크리스트!$C$2:$C$530,"병력청취")</f>
        <v>40</v>
      </c>
      <c r="D2" s="28" t="n">
        <f aca="false">SUMIFS(세부체크리스트!$E$2:$E$530,세부체크리스트!$A$2:$A$530,$A2,세부체크리스트!$C$2:$C$530,"신체진찰")</f>
        <v>20</v>
      </c>
      <c r="E2" s="28" t="n">
        <f aca="false">SUMIFS(세부체크리스트!$E$2:$E$530,세부체크리스트!$A$2:$A$530,$A2,세부체크리스트!$C$2:$C$530,"PPI(환자-의사관계)")</f>
        <v>20</v>
      </c>
      <c r="F2" s="28" t="n">
        <f aca="false">SUMIFS(세부체크리스트!$E$2:$E$530,세부체크리스트!$A$2:$A$530,$A2,세부체크리스트!$C$2:$C$530,"임상추론(Dx/검사/치료)")</f>
        <v>20</v>
      </c>
      <c r="G2" s="28" t="n">
        <f aca="false">SUM(C2:F2)</f>
        <v>100</v>
      </c>
    </row>
    <row r="3" customFormat="false" ht="17.15" hidden="false" customHeight="false" outlineLevel="0" collapsed="false">
      <c r="A3" s="2" t="s">
        <v>62</v>
      </c>
      <c r="B3" s="27" t="s">
        <v>289</v>
      </c>
      <c r="C3" s="28" t="n">
        <f aca="false">SUMIFS(세부체크리스트!$E$2:$E$530,세부체크리스트!$A$2:$A$530,$A3,세부체크리스트!$C$2:$C$530,"병력청취")</f>
        <v>40</v>
      </c>
      <c r="D3" s="28" t="n">
        <f aca="false">SUMIFS(세부체크리스트!$E$2:$E$530,세부체크리스트!$A$2:$A$530,$A3,세부체크리스트!$C$2:$C$530,"신체진찰")</f>
        <v>20</v>
      </c>
      <c r="E3" s="28" t="n">
        <f aca="false">SUMIFS(세부체크리스트!$E$2:$E$530,세부체크리스트!$A$2:$A$530,$A3,세부체크리스트!$C$2:$C$530,"PPI(환자-의사관계)")</f>
        <v>20</v>
      </c>
      <c r="F3" s="28" t="n">
        <f aca="false">SUMIFS(세부체크리스트!$E$2:$E$530,세부체크리스트!$A$2:$A$530,$A3,세부체크리스트!$C$2:$C$530,"임상추론(Dx/검사/치료)")</f>
        <v>20</v>
      </c>
      <c r="G3" s="28" t="n">
        <f aca="false">SUM(C3:F3)</f>
        <v>100</v>
      </c>
    </row>
    <row r="4" customFormat="false" ht="17.15" hidden="false" customHeight="false" outlineLevel="0" collapsed="false">
      <c r="A4" s="2" t="s">
        <v>74</v>
      </c>
      <c r="B4" s="27" t="s">
        <v>290</v>
      </c>
      <c r="C4" s="28" t="n">
        <f aca="false">SUMIFS(세부체크리스트!$E$2:$E$530,세부체크리스트!$A$2:$A$530,$A4,세부체크리스트!$C$2:$C$530,"병력청취")</f>
        <v>40</v>
      </c>
      <c r="D4" s="28" t="n">
        <f aca="false">SUMIFS(세부체크리스트!$E$2:$E$530,세부체크리스트!$A$2:$A$530,$A4,세부체크리스트!$C$2:$C$530,"신체진찰")</f>
        <v>20</v>
      </c>
      <c r="E4" s="28" t="n">
        <f aca="false">SUMIFS(세부체크리스트!$E$2:$E$530,세부체크리스트!$A$2:$A$530,$A4,세부체크리스트!$C$2:$C$530,"PPI(환자-의사관계)")</f>
        <v>20</v>
      </c>
      <c r="F4" s="28" t="n">
        <f aca="false">SUMIFS(세부체크리스트!$E$2:$E$530,세부체크리스트!$A$2:$A$530,$A4,세부체크리스트!$C$2:$C$530,"임상추론(Dx/검사/치료)")</f>
        <v>20</v>
      </c>
      <c r="G4" s="28" t="n">
        <f aca="false">SUM(C4:F4)</f>
        <v>100</v>
      </c>
    </row>
    <row r="5" customFormat="false" ht="17.15" hidden="false" customHeight="false" outlineLevel="0" collapsed="false">
      <c r="A5" s="2" t="s">
        <v>85</v>
      </c>
      <c r="B5" s="27" t="s">
        <v>291</v>
      </c>
      <c r="C5" s="28" t="n">
        <f aca="false">SUMIFS(세부체크리스트!$E$2:$E$530,세부체크리스트!$A$2:$A$530,$A5,세부체크리스트!$C$2:$C$530,"병력청취")</f>
        <v>40</v>
      </c>
      <c r="D5" s="28" t="n">
        <f aca="false">SUMIFS(세부체크리스트!$E$2:$E$530,세부체크리스트!$A$2:$A$530,$A5,세부체크리스트!$C$2:$C$530,"신체진찰")</f>
        <v>20</v>
      </c>
      <c r="E5" s="28" t="n">
        <f aca="false">SUMIFS(세부체크리스트!$E$2:$E$530,세부체크리스트!$A$2:$A$530,$A5,세부체크리스트!$C$2:$C$530,"PPI(환자-의사관계)")</f>
        <v>20</v>
      </c>
      <c r="F5" s="28" t="n">
        <f aca="false">SUMIFS(세부체크리스트!$E$2:$E$530,세부체크리스트!$A$2:$A$530,$A5,세부체크리스트!$C$2:$C$530,"임상추론(Dx/검사/치료)")</f>
        <v>20</v>
      </c>
      <c r="G5" s="28" t="n">
        <f aca="false">SUM(C5:F5)</f>
        <v>100</v>
      </c>
    </row>
    <row r="6" customFormat="false" ht="17.15" hidden="false" customHeight="false" outlineLevel="0" collapsed="false">
      <c r="A6" s="2" t="s">
        <v>93</v>
      </c>
      <c r="B6" s="27" t="s">
        <v>292</v>
      </c>
      <c r="C6" s="28" t="n">
        <f aca="false">SUMIFS(세부체크리스트!$E$2:$E$530,세부체크리스트!$A$2:$A$530,$A6,세부체크리스트!$C$2:$C$530,"병력청취")</f>
        <v>40</v>
      </c>
      <c r="D6" s="28" t="n">
        <f aca="false">SUMIFS(세부체크리스트!$E$2:$E$530,세부체크리스트!$A$2:$A$530,$A6,세부체크리스트!$C$2:$C$530,"신체진찰")</f>
        <v>20</v>
      </c>
      <c r="E6" s="28" t="n">
        <f aca="false">SUMIFS(세부체크리스트!$E$2:$E$530,세부체크리스트!$A$2:$A$530,$A6,세부체크리스트!$C$2:$C$530,"PPI(환자-의사관계)")</f>
        <v>20</v>
      </c>
      <c r="F6" s="28" t="n">
        <f aca="false">SUMIFS(세부체크리스트!$E$2:$E$530,세부체크리스트!$A$2:$A$530,$A6,세부체크리스트!$C$2:$C$530,"임상추론(Dx/검사/치료)")</f>
        <v>20</v>
      </c>
      <c r="G6" s="28" t="n">
        <f aca="false">SUM(C6:F6)</f>
        <v>100</v>
      </c>
    </row>
    <row r="7" customFormat="false" ht="17.15" hidden="false" customHeight="false" outlineLevel="0" collapsed="false">
      <c r="A7" s="2" t="s">
        <v>101</v>
      </c>
      <c r="B7" s="27" t="s">
        <v>293</v>
      </c>
      <c r="C7" s="28" t="n">
        <f aca="false">SUMIFS(세부체크리스트!$E$2:$E$530,세부체크리스트!$A$2:$A$530,$A7,세부체크리스트!$C$2:$C$530,"병력청취")</f>
        <v>40</v>
      </c>
      <c r="D7" s="28" t="n">
        <f aca="false">SUMIFS(세부체크리스트!$E$2:$E$530,세부체크리스트!$A$2:$A$530,$A7,세부체크리스트!$C$2:$C$530,"신체진찰")</f>
        <v>20</v>
      </c>
      <c r="E7" s="28" t="n">
        <f aca="false">SUMIFS(세부체크리스트!$E$2:$E$530,세부체크리스트!$A$2:$A$530,$A7,세부체크리스트!$C$2:$C$530,"PPI(환자-의사관계)")</f>
        <v>20</v>
      </c>
      <c r="F7" s="28" t="n">
        <f aca="false">SUMIFS(세부체크리스트!$E$2:$E$530,세부체크리스트!$A$2:$A$530,$A7,세부체크리스트!$C$2:$C$530,"임상추론(Dx/검사/치료)")</f>
        <v>20</v>
      </c>
      <c r="G7" s="28" t="n">
        <f aca="false">SUM(C7:F7)</f>
        <v>100</v>
      </c>
    </row>
    <row r="8" customFormat="false" ht="17.15" hidden="false" customHeight="false" outlineLevel="0" collapsed="false">
      <c r="A8" s="2" t="s">
        <v>112</v>
      </c>
      <c r="B8" s="27" t="s">
        <v>294</v>
      </c>
      <c r="C8" s="28" t="n">
        <f aca="false">SUMIFS(세부체크리스트!$E$2:$E$530,세부체크리스트!$A$2:$A$530,$A8,세부체크리스트!$C$2:$C$530,"병력청취")</f>
        <v>40</v>
      </c>
      <c r="D8" s="28" t="n">
        <f aca="false">SUMIFS(세부체크리스트!$E$2:$E$530,세부체크리스트!$A$2:$A$530,$A8,세부체크리스트!$C$2:$C$530,"신체진찰")</f>
        <v>20</v>
      </c>
      <c r="E8" s="28" t="n">
        <f aca="false">SUMIFS(세부체크리스트!$E$2:$E$530,세부체크리스트!$A$2:$A$530,$A8,세부체크리스트!$C$2:$C$530,"PPI(환자-의사관계)")</f>
        <v>20</v>
      </c>
      <c r="F8" s="28" t="n">
        <f aca="false">SUMIFS(세부체크리스트!$E$2:$E$530,세부체크리스트!$A$2:$A$530,$A8,세부체크리스트!$C$2:$C$530,"임상추론(Dx/검사/치료)")</f>
        <v>20</v>
      </c>
      <c r="G8" s="28" t="n">
        <f aca="false">SUM(C8:F8)</f>
        <v>100</v>
      </c>
    </row>
    <row r="9" customFormat="false" ht="17.15" hidden="false" customHeight="false" outlineLevel="0" collapsed="false">
      <c r="A9" s="2" t="s">
        <v>123</v>
      </c>
      <c r="B9" s="27" t="s">
        <v>295</v>
      </c>
      <c r="C9" s="28" t="n">
        <f aca="false">SUMIFS(세부체크리스트!$E$2:$E$530,세부체크리스트!$A$2:$A$530,$A9,세부체크리스트!$C$2:$C$530,"병력청취")</f>
        <v>40</v>
      </c>
      <c r="D9" s="28" t="n">
        <f aca="false">SUMIFS(세부체크리스트!$E$2:$E$530,세부체크리스트!$A$2:$A$530,$A9,세부체크리스트!$C$2:$C$530,"신체진찰")</f>
        <v>20</v>
      </c>
      <c r="E9" s="28" t="n">
        <f aca="false">SUMIFS(세부체크리스트!$E$2:$E$530,세부체크리스트!$A$2:$A$530,$A9,세부체크리스트!$C$2:$C$530,"PPI(환자-의사관계)")</f>
        <v>20</v>
      </c>
      <c r="F9" s="28" t="n">
        <f aca="false">SUMIFS(세부체크리스트!$E$2:$E$530,세부체크리스트!$A$2:$A$530,$A9,세부체크리스트!$C$2:$C$530,"임상추론(Dx/검사/치료)")</f>
        <v>20</v>
      </c>
      <c r="G9" s="28" t="n">
        <f aca="false">SUM(C9:F9)</f>
        <v>100</v>
      </c>
    </row>
    <row r="10" customFormat="false" ht="17.15" hidden="false" customHeight="false" outlineLevel="0" collapsed="false">
      <c r="A10" s="2" t="s">
        <v>134</v>
      </c>
      <c r="B10" s="27" t="s">
        <v>296</v>
      </c>
      <c r="C10" s="28" t="n">
        <f aca="false">SUMIFS(세부체크리스트!$E$2:$E$530,세부체크리스트!$A$2:$A$530,$A10,세부체크리스트!$C$2:$C$530,"병력청취")</f>
        <v>40</v>
      </c>
      <c r="D10" s="28" t="n">
        <f aca="false">SUMIFS(세부체크리스트!$E$2:$E$530,세부체크리스트!$A$2:$A$530,$A10,세부체크리스트!$C$2:$C$530,"신체진찰")</f>
        <v>20</v>
      </c>
      <c r="E10" s="28" t="n">
        <f aca="false">SUMIFS(세부체크리스트!$E$2:$E$530,세부체크리스트!$A$2:$A$530,$A10,세부체크리스트!$C$2:$C$530,"PPI(환자-의사관계)")</f>
        <v>20</v>
      </c>
      <c r="F10" s="28" t="n">
        <f aca="false">SUMIFS(세부체크리스트!$E$2:$E$530,세부체크리스트!$A$2:$A$530,$A10,세부체크리스트!$C$2:$C$530,"임상추론(Dx/검사/치료)")</f>
        <v>20</v>
      </c>
      <c r="G10" s="28" t="n">
        <f aca="false">SUM(C10:F10)</f>
        <v>100</v>
      </c>
    </row>
    <row r="11" customFormat="false" ht="17.15" hidden="false" customHeight="false" outlineLevel="0" collapsed="false">
      <c r="A11" s="2" t="s">
        <v>145</v>
      </c>
      <c r="B11" s="27" t="s">
        <v>297</v>
      </c>
      <c r="C11" s="28" t="n">
        <f aca="false">SUMIFS(세부체크리스트!$E$2:$E$530,세부체크리스트!$A$2:$A$530,$A11,세부체크리스트!$C$2:$C$530,"병력청취")</f>
        <v>40</v>
      </c>
      <c r="D11" s="28" t="n">
        <f aca="false">SUMIFS(세부체크리스트!$E$2:$E$530,세부체크리스트!$A$2:$A$530,$A11,세부체크리스트!$C$2:$C$530,"신체진찰")</f>
        <v>20</v>
      </c>
      <c r="E11" s="28" t="n">
        <f aca="false">SUMIFS(세부체크리스트!$E$2:$E$530,세부체크리스트!$A$2:$A$530,$A11,세부체크리스트!$C$2:$C$530,"PPI(환자-의사관계)")</f>
        <v>20</v>
      </c>
      <c r="F11" s="28" t="n">
        <f aca="false">SUMIFS(세부체크리스트!$E$2:$E$530,세부체크리스트!$A$2:$A$530,$A11,세부체크리스트!$C$2:$C$530,"임상추론(Dx/검사/치료)")</f>
        <v>20</v>
      </c>
      <c r="G11" s="28" t="n">
        <f aca="false">SUM(C11:F11)</f>
        <v>100</v>
      </c>
    </row>
    <row r="12" customFormat="false" ht="17.15" hidden="false" customHeight="false" outlineLevel="0" collapsed="false">
      <c r="A12" s="2" t="s">
        <v>155</v>
      </c>
      <c r="B12" s="27" t="s">
        <v>298</v>
      </c>
      <c r="C12" s="28" t="n">
        <f aca="false">SUMIFS(세부체크리스트!$E$2:$E$530,세부체크리스트!$A$2:$A$530,$A12,세부체크리스트!$C$2:$C$530,"병력청취")</f>
        <v>40</v>
      </c>
      <c r="D12" s="28" t="n">
        <f aca="false">SUMIFS(세부체크리스트!$E$2:$E$530,세부체크리스트!$A$2:$A$530,$A12,세부체크리스트!$C$2:$C$530,"신체진찰")</f>
        <v>20</v>
      </c>
      <c r="E12" s="28" t="n">
        <f aca="false">SUMIFS(세부체크리스트!$E$2:$E$530,세부체크리스트!$A$2:$A$530,$A12,세부체크리스트!$C$2:$C$530,"PPI(환자-의사관계)")</f>
        <v>20</v>
      </c>
      <c r="F12" s="28" t="n">
        <f aca="false">SUMIFS(세부체크리스트!$E$2:$E$530,세부체크리스트!$A$2:$A$530,$A12,세부체크리스트!$C$2:$C$530,"임상추론(Dx/검사/치료)")</f>
        <v>20</v>
      </c>
      <c r="G12" s="28" t="n">
        <f aca="false">SUM(C12:F12)</f>
        <v>100</v>
      </c>
    </row>
    <row r="13" customFormat="false" ht="17.15" hidden="false" customHeight="false" outlineLevel="0" collapsed="false">
      <c r="A13" s="2" t="s">
        <v>166</v>
      </c>
      <c r="B13" s="27" t="s">
        <v>299</v>
      </c>
      <c r="C13" s="28" t="n">
        <f aca="false">SUMIFS(세부체크리스트!$E$2:$E$530,세부체크리스트!$A$2:$A$530,$A13,세부체크리스트!$C$2:$C$530,"병력청취")</f>
        <v>40</v>
      </c>
      <c r="D13" s="28" t="n">
        <f aca="false">SUMIFS(세부체크리스트!$E$2:$E$530,세부체크리스트!$A$2:$A$530,$A13,세부체크리스트!$C$2:$C$530,"신체진찰")</f>
        <v>20</v>
      </c>
      <c r="E13" s="28" t="n">
        <f aca="false">SUMIFS(세부체크리스트!$E$2:$E$530,세부체크리스트!$A$2:$A$530,$A13,세부체크리스트!$C$2:$C$530,"PPI(환자-의사관계)")</f>
        <v>20</v>
      </c>
      <c r="F13" s="28" t="n">
        <f aca="false">SUMIFS(세부체크리스트!$E$2:$E$530,세부체크리스트!$A$2:$A$530,$A13,세부체크리스트!$C$2:$C$530,"임상추론(Dx/검사/치료)")</f>
        <v>20</v>
      </c>
      <c r="G13" s="28" t="n">
        <f aca="false">SUM(C13:F13)</f>
        <v>100</v>
      </c>
    </row>
    <row r="14" customFormat="false" ht="17.15" hidden="false" customHeight="false" outlineLevel="0" collapsed="false">
      <c r="A14" s="2" t="s">
        <v>175</v>
      </c>
      <c r="B14" s="27" t="s">
        <v>300</v>
      </c>
      <c r="C14" s="28" t="n">
        <f aca="false">SUMIFS(세부체크리스트!$E$2:$E$530,세부체크리스트!$A$2:$A$530,$A14,세부체크리스트!$C$2:$C$530,"병력청취")</f>
        <v>40</v>
      </c>
      <c r="D14" s="28" t="n">
        <f aca="false">SUMIFS(세부체크리스트!$E$2:$E$530,세부체크리스트!$A$2:$A$530,$A14,세부체크리스트!$C$2:$C$530,"신체진찰")</f>
        <v>20</v>
      </c>
      <c r="E14" s="28" t="n">
        <f aca="false">SUMIFS(세부체크리스트!$E$2:$E$530,세부체크리스트!$A$2:$A$530,$A14,세부체크리스트!$C$2:$C$530,"PPI(환자-의사관계)")</f>
        <v>20</v>
      </c>
      <c r="F14" s="28" t="n">
        <f aca="false">SUMIFS(세부체크리스트!$E$2:$E$530,세부체크리스트!$A$2:$A$530,$A14,세부체크리스트!$C$2:$C$530,"임상추론(Dx/검사/치료)")</f>
        <v>20</v>
      </c>
      <c r="G14" s="28" t="n">
        <f aca="false">SUM(C14:F14)</f>
        <v>100</v>
      </c>
    </row>
    <row r="15" customFormat="false" ht="17.15" hidden="false" customHeight="false" outlineLevel="0" collapsed="false">
      <c r="A15" s="2" t="s">
        <v>185</v>
      </c>
      <c r="B15" s="27" t="s">
        <v>301</v>
      </c>
      <c r="C15" s="28" t="n">
        <f aca="false">SUMIFS(세부체크리스트!$E$2:$E$530,세부체크리스트!$A$2:$A$530,$A15,세부체크리스트!$C$2:$C$530,"병력청취")</f>
        <v>40</v>
      </c>
      <c r="D15" s="28" t="n">
        <f aca="false">SUMIFS(세부체크리스트!$E$2:$E$530,세부체크리스트!$A$2:$A$530,$A15,세부체크리스트!$C$2:$C$530,"신체진찰")</f>
        <v>20</v>
      </c>
      <c r="E15" s="28" t="n">
        <f aca="false">SUMIFS(세부체크리스트!$E$2:$E$530,세부체크리스트!$A$2:$A$530,$A15,세부체크리스트!$C$2:$C$530,"PPI(환자-의사관계)")</f>
        <v>20</v>
      </c>
      <c r="F15" s="28" t="n">
        <f aca="false">SUMIFS(세부체크리스트!$E$2:$E$530,세부체크리스트!$A$2:$A$530,$A15,세부체크리스트!$C$2:$C$530,"임상추론(Dx/검사/치료)")</f>
        <v>20</v>
      </c>
      <c r="G15" s="28" t="n">
        <f aca="false">SUM(C15:F15)</f>
        <v>100</v>
      </c>
    </row>
    <row r="16" customFormat="false" ht="17.15" hidden="false" customHeight="false" outlineLevel="0" collapsed="false">
      <c r="A16" s="2" t="s">
        <v>194</v>
      </c>
      <c r="B16" s="27" t="s">
        <v>302</v>
      </c>
      <c r="C16" s="28" t="n">
        <f aca="false">SUMIFS(세부체크리스트!$E$2:$E$530,세부체크리스트!$A$2:$A$530,$A16,세부체크리스트!$C$2:$C$530,"병력청취")</f>
        <v>40</v>
      </c>
      <c r="D16" s="28" t="n">
        <f aca="false">SUMIFS(세부체크리스트!$E$2:$E$530,세부체크리스트!$A$2:$A$530,$A16,세부체크리스트!$C$2:$C$530,"신체진찰")</f>
        <v>20</v>
      </c>
      <c r="E16" s="28" t="n">
        <f aca="false">SUMIFS(세부체크리스트!$E$2:$E$530,세부체크리스트!$A$2:$A$530,$A16,세부체크리스트!$C$2:$C$530,"PPI(환자-의사관계)")</f>
        <v>20</v>
      </c>
      <c r="F16" s="28" t="n">
        <f aca="false">SUMIFS(세부체크리스트!$E$2:$E$530,세부체크리스트!$A$2:$A$530,$A16,세부체크리스트!$C$2:$C$530,"임상추론(Dx/검사/치료)")</f>
        <v>20</v>
      </c>
      <c r="G16" s="28" t="n">
        <f aca="false">SUM(C16:F16)</f>
        <v>100</v>
      </c>
    </row>
    <row r="17" customFormat="false" ht="17.15" hidden="false" customHeight="false" outlineLevel="0" collapsed="false">
      <c r="A17" s="2" t="s">
        <v>202</v>
      </c>
      <c r="B17" s="27" t="s">
        <v>303</v>
      </c>
      <c r="C17" s="28" t="n">
        <f aca="false">SUMIFS(세부체크리스트!$E$2:$E$530,세부체크리스트!$A$2:$A$530,$A17,세부체크리스트!$C$2:$C$530,"병력청취")</f>
        <v>40</v>
      </c>
      <c r="D17" s="28" t="n">
        <f aca="false">SUMIFS(세부체크리스트!$E$2:$E$530,세부체크리스트!$A$2:$A$530,$A17,세부체크리스트!$C$2:$C$530,"신체진찰")</f>
        <v>20</v>
      </c>
      <c r="E17" s="28" t="n">
        <f aca="false">SUMIFS(세부체크리스트!$E$2:$E$530,세부체크리스트!$A$2:$A$530,$A17,세부체크리스트!$C$2:$C$530,"PPI(환자-의사관계)")</f>
        <v>20</v>
      </c>
      <c r="F17" s="28" t="n">
        <f aca="false">SUMIFS(세부체크리스트!$E$2:$E$530,세부체크리스트!$A$2:$A$530,$A17,세부체크리스트!$C$2:$C$530,"임상추론(Dx/검사/치료)")</f>
        <v>20</v>
      </c>
      <c r="G17" s="28" t="n">
        <f aca="false">SUM(C17:F17)</f>
        <v>100</v>
      </c>
    </row>
    <row r="18" customFormat="false" ht="17.15" hidden="false" customHeight="false" outlineLevel="0" collapsed="false">
      <c r="A18" s="2" t="s">
        <v>211</v>
      </c>
      <c r="B18" s="27" t="s">
        <v>304</v>
      </c>
      <c r="C18" s="28" t="n">
        <f aca="false">SUMIFS(세부체크리스트!$E$2:$E$530,세부체크리스트!$A$2:$A$530,$A18,세부체크리스트!$C$2:$C$530,"병력청취")</f>
        <v>40</v>
      </c>
      <c r="D18" s="28" t="n">
        <f aca="false">SUMIFS(세부체크리스트!$E$2:$E$530,세부체크리스트!$A$2:$A$530,$A18,세부체크리스트!$C$2:$C$530,"신체진찰")</f>
        <v>20</v>
      </c>
      <c r="E18" s="28" t="n">
        <f aca="false">SUMIFS(세부체크리스트!$E$2:$E$530,세부체크리스트!$A$2:$A$530,$A18,세부체크리스트!$C$2:$C$530,"PPI(환자-의사관계)")</f>
        <v>20</v>
      </c>
      <c r="F18" s="28" t="n">
        <f aca="false">SUMIFS(세부체크리스트!$E$2:$E$530,세부체크리스트!$A$2:$A$530,$A18,세부체크리스트!$C$2:$C$530,"임상추론(Dx/검사/치료)")</f>
        <v>20</v>
      </c>
      <c r="G18" s="28" t="n">
        <f aca="false">SUM(C18:F18)</f>
        <v>100</v>
      </c>
    </row>
    <row r="19" customFormat="false" ht="17.15" hidden="false" customHeight="false" outlineLevel="0" collapsed="false">
      <c r="A19" s="2" t="s">
        <v>221</v>
      </c>
      <c r="B19" s="27" t="s">
        <v>305</v>
      </c>
      <c r="C19" s="28" t="n">
        <f aca="false">SUMIFS(세부체크리스트!$E$2:$E$530,세부체크리스트!$A$2:$A$530,$A19,세부체크리스트!$C$2:$C$530,"병력청취")</f>
        <v>40</v>
      </c>
      <c r="D19" s="28" t="n">
        <f aca="false">SUMIFS(세부체크리스트!$E$2:$E$530,세부체크리스트!$A$2:$A$530,$A19,세부체크리스트!$C$2:$C$530,"신체진찰")</f>
        <v>20</v>
      </c>
      <c r="E19" s="28" t="n">
        <f aca="false">SUMIFS(세부체크리스트!$E$2:$E$530,세부체크리스트!$A$2:$A$530,$A19,세부체크리스트!$C$2:$C$530,"PPI(환자-의사관계)")</f>
        <v>20</v>
      </c>
      <c r="F19" s="28" t="n">
        <f aca="false">SUMIFS(세부체크리스트!$E$2:$E$530,세부체크리스트!$A$2:$A$530,$A19,세부체크리스트!$C$2:$C$530,"임상추론(Dx/검사/치료)")</f>
        <v>20</v>
      </c>
      <c r="G19" s="28" t="n">
        <f aca="false">SUM(C19:F19)</f>
        <v>100</v>
      </c>
    </row>
    <row r="20" customFormat="false" ht="17.15" hidden="false" customHeight="false" outlineLevel="0" collapsed="false">
      <c r="A20" s="2" t="s">
        <v>229</v>
      </c>
      <c r="B20" s="27" t="s">
        <v>306</v>
      </c>
      <c r="C20" s="28" t="n">
        <f aca="false">SUMIFS(세부체크리스트!$E$2:$E$530,세부체크리스트!$A$2:$A$530,$A20,세부체크리스트!$C$2:$C$530,"병력청취")</f>
        <v>40</v>
      </c>
      <c r="D20" s="28" t="n">
        <f aca="false">SUMIFS(세부체크리스트!$E$2:$E$530,세부체크리스트!$A$2:$A$530,$A20,세부체크리스트!$C$2:$C$530,"신체진찰")</f>
        <v>20</v>
      </c>
      <c r="E20" s="28" t="n">
        <f aca="false">SUMIFS(세부체크리스트!$E$2:$E$530,세부체크리스트!$A$2:$A$530,$A20,세부체크리스트!$C$2:$C$530,"PPI(환자-의사관계)")</f>
        <v>20</v>
      </c>
      <c r="F20" s="28" t="n">
        <f aca="false">SUMIFS(세부체크리스트!$E$2:$E$530,세부체크리스트!$A$2:$A$530,$A20,세부체크리스트!$C$2:$C$530,"임상추론(Dx/검사/치료)")</f>
        <v>20</v>
      </c>
      <c r="G20" s="28" t="n">
        <f aca="false">SUM(C20:F20)</f>
        <v>100</v>
      </c>
    </row>
    <row r="21" customFormat="false" ht="17.15" hidden="false" customHeight="false" outlineLevel="0" collapsed="false">
      <c r="A21" s="2" t="s">
        <v>239</v>
      </c>
      <c r="B21" s="27" t="s">
        <v>307</v>
      </c>
      <c r="C21" s="28" t="n">
        <f aca="false">SUMIFS(세부체크리스트!$E$2:$E$530,세부체크리스트!$A$2:$A$530,$A21,세부체크리스트!$C$2:$C$530,"병력청취")</f>
        <v>40</v>
      </c>
      <c r="D21" s="28" t="n">
        <f aca="false">SUMIFS(세부체크리스트!$E$2:$E$530,세부체크리스트!$A$2:$A$530,$A21,세부체크리스트!$C$2:$C$530,"신체진찰")</f>
        <v>20</v>
      </c>
      <c r="E21" s="28" t="n">
        <f aca="false">SUMIFS(세부체크리스트!$E$2:$E$530,세부체크리스트!$A$2:$A$530,$A21,세부체크리스트!$C$2:$C$530,"PPI(환자-의사관계)")</f>
        <v>20</v>
      </c>
      <c r="F21" s="28" t="n">
        <f aca="false">SUMIFS(세부체크리스트!$E$2:$E$530,세부체크리스트!$A$2:$A$530,$A21,세부체크리스트!$C$2:$C$530,"임상추론(Dx/검사/치료)")</f>
        <v>20</v>
      </c>
      <c r="G21" s="28" t="n">
        <f aca="false">SUM(C21:F21)</f>
        <v>100</v>
      </c>
    </row>
    <row r="22" customFormat="false" ht="17.15" hidden="false" customHeight="false" outlineLevel="0" collapsed="false">
      <c r="A22" s="2" t="s">
        <v>250</v>
      </c>
      <c r="B22" s="27" t="s">
        <v>308</v>
      </c>
      <c r="C22" s="28" t="n">
        <f aca="false">SUMIFS(세부체크리스트!$E$2:$E$530,세부체크리스트!$A$2:$A$530,$A22,세부체크리스트!$C$2:$C$530,"병력청취")</f>
        <v>40</v>
      </c>
      <c r="D22" s="28" t="n">
        <f aca="false">SUMIFS(세부체크리스트!$E$2:$E$530,세부체크리스트!$A$2:$A$530,$A22,세부체크리스트!$C$2:$C$530,"신체진찰")</f>
        <v>20</v>
      </c>
      <c r="E22" s="28" t="n">
        <f aca="false">SUMIFS(세부체크리스트!$E$2:$E$530,세부체크리스트!$A$2:$A$530,$A22,세부체크리스트!$C$2:$C$530,"PPI(환자-의사관계)")</f>
        <v>20</v>
      </c>
      <c r="F22" s="28" t="n">
        <f aca="false">SUMIFS(세부체크리스트!$E$2:$E$530,세부체크리스트!$A$2:$A$530,$A22,세부체크리스트!$C$2:$C$530,"임상추론(Dx/검사/치료)")</f>
        <v>20</v>
      </c>
      <c r="G22" s="28" t="n">
        <f aca="false">SUM(C22:F22)</f>
        <v>100</v>
      </c>
    </row>
    <row r="23" customFormat="false" ht="17.15" hidden="false" customHeight="false" outlineLevel="0" collapsed="false">
      <c r="A23" s="2" t="s">
        <v>261</v>
      </c>
      <c r="B23" s="27" t="s">
        <v>309</v>
      </c>
      <c r="C23" s="28" t="n">
        <f aca="false">SUMIFS(세부체크리스트!$E$2:$E$530,세부체크리스트!$A$2:$A$530,$A23,세부체크리스트!$C$2:$C$530,"병력청취")</f>
        <v>40</v>
      </c>
      <c r="D23" s="28" t="n">
        <f aca="false">SUMIFS(세부체크리스트!$E$2:$E$530,세부체크리스트!$A$2:$A$530,$A23,세부체크리스트!$C$2:$C$530,"신체진찰")</f>
        <v>20</v>
      </c>
      <c r="E23" s="28" t="n">
        <f aca="false">SUMIFS(세부체크리스트!$E$2:$E$530,세부체크리스트!$A$2:$A$530,$A23,세부체크리스트!$C$2:$C$530,"PPI(환자-의사관계)")</f>
        <v>20</v>
      </c>
      <c r="F23" s="28" t="n">
        <f aca="false">SUMIFS(세부체크리스트!$E$2:$E$530,세부체크리스트!$A$2:$A$530,$A23,세부체크리스트!$C$2:$C$530,"임상추론(Dx/검사/치료)")</f>
        <v>20</v>
      </c>
      <c r="G23" s="28" t="n">
        <f aca="false">SUM(C23:F23)</f>
        <v>100</v>
      </c>
    </row>
    <row r="24" customFormat="false" ht="17.15" hidden="false" customHeight="false" outlineLevel="0" collapsed="false">
      <c r="A24" s="2" t="s">
        <v>272</v>
      </c>
      <c r="B24" s="27" t="s">
        <v>310</v>
      </c>
      <c r="C24" s="28" t="n">
        <f aca="false">SUMIFS(세부체크리스트!$E$2:$E$530,세부체크리스트!$A$2:$A$530,$A24,세부체크리스트!$C$2:$C$530,"병력청취")</f>
        <v>40</v>
      </c>
      <c r="D24" s="28" t="n">
        <f aca="false">SUMIFS(세부체크리스트!$E$2:$E$530,세부체크리스트!$A$2:$A$530,$A24,세부체크리스트!$C$2:$C$530,"신체진찰")</f>
        <v>20</v>
      </c>
      <c r="E24" s="28" t="n">
        <f aca="false">SUMIFS(세부체크리스트!$E$2:$E$530,세부체크리스트!$A$2:$A$530,$A24,세부체크리스트!$C$2:$C$530,"PPI(환자-의사관계)")</f>
        <v>20</v>
      </c>
      <c r="F24" s="28" t="n">
        <f aca="false">SUMIFS(세부체크리스트!$E$2:$E$530,세부체크리스트!$A$2:$A$530,$A24,세부체크리스트!$C$2:$C$530,"임상추론(Dx/검사/치료)")</f>
        <v>20</v>
      </c>
      <c r="G24" s="28" t="n">
        <f aca="false">SUM(C24:F24)</f>
        <v>100</v>
      </c>
    </row>
    <row r="25" customFormat="false" ht="15" hidden="false" customHeight="false" outlineLevel="0" collapsed="false">
      <c r="A25" s="3" t="s">
        <v>311</v>
      </c>
      <c r="B25" s="3"/>
      <c r="C25" s="29" t="n">
        <f aca="false">AVERAGE(C2:C24)</f>
        <v>40</v>
      </c>
      <c r="D25" s="29" t="n">
        <f aca="false">AVERAGE(D2:D24)</f>
        <v>20</v>
      </c>
      <c r="E25" s="29" t="n">
        <f aca="false">AVERAGE(E2:E24)</f>
        <v>20</v>
      </c>
      <c r="F25" s="29" t="n">
        <f aca="false">AVERAGE(F2:F24)</f>
        <v>20</v>
      </c>
      <c r="G25" s="29" t="n">
        <f aca="false">AVERAGE(G2:G24)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2026-06-28T08:43:32Z</dcterms:created>
  <dc:creator>openpyxl</dc:creator>
  <dc:description/>
  <dc:language>en-US</dc:language>
  <cp:lastModifiedBy/>
  <dcterms:modified xsi:type="dcterms:W3CDTF">2026-06-28T08:43:32Z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